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91801\Desktop\Excel projects\"/>
    </mc:Choice>
  </mc:AlternateContent>
  <xr:revisionPtr revIDLastSave="0" documentId="13_ncr:1_{FD005217-F3C0-45DD-8943-EDE1023F9D98}" xr6:coauthVersionLast="47" xr6:coauthVersionMax="47" xr10:uidLastSave="{00000000-0000-0000-0000-000000000000}"/>
  <bookViews>
    <workbookView xWindow="-108" yWindow="-108" windowWidth="23256" windowHeight="12456" firstSheet="1" activeTab="5" xr2:uid="{D7A0A519-32A0-4213-9A5F-9F91D1E7F486}"/>
  </bookViews>
  <sheets>
    <sheet name="Ferns and Petals Sales Analysis"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'Ferns and Petals Sales Analysis'!$A$1:$F$4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282" r:id="rId8"/>
    <pivotCache cacheId="285" r:id="rId9"/>
    <pivotCache cacheId="288" r:id="rId10"/>
    <pivotCache cacheId="291" r:id="rId11"/>
    <pivotCache cacheId="294" r:id="rId12"/>
    <pivotCache cacheId="297" r:id="rId13"/>
    <pivotCache cacheId="300"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rns and Petals Sales Analysis_fd6303bb-e77b-4bab-b8d4-d4e7c0e46a4d" name="Ferns and Petals Sales Analysis" connection="Query - Ferns and Petals Sales Analysis"/>
          <x15:modelTable id="Customers_55a2e3f4-b43b-4a23-924b-fdbdd60081a5" name="Customers" connection="Query - Customers"/>
          <x15:modelTable id="Orders_25ad40d1-7f29-492c-b322-59797c69f26d" name="Orders" connection="Query - Orders"/>
          <x15:modelTable id="Products_5316b520-80c3-44f0-9f72-877ef9704209"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I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04C0ED-0CE9-4054-BEDC-DE2EE966BFC7}" keepAlive="1" name="ModelConnection_ExternalData_1" description="Data Model" type="5" refreshedVersion="8" minRefreshableVersion="5" saveData="1">
    <dbPr connection="Data Model Connection" command="Ferns and Petals Sales Analysis" commandType="3"/>
    <extLst>
      <ext xmlns:x15="http://schemas.microsoft.com/office/spreadsheetml/2010/11/main" uri="{DE250136-89BD-433C-8126-D09CA5730AF9}">
        <x15:connection id="" model="1"/>
      </ext>
    </extLst>
  </connection>
  <connection id="2" xr16:uid="{4C56AA4E-FEED-445D-9FAE-F25797269B56}"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4410317A-BDAC-4DEB-9E57-DFF629428F59}"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4CCA64AC-DE3F-4898-88AF-D2E40F8F3D0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4F72D81D-1BC5-4693-8A11-7FDEABF34CF1}" name="Query - Customers" description="Connection to the 'Customers' query in the workbook." type="100" refreshedVersion="8" minRefreshableVersion="5">
    <extLst>
      <ext xmlns:x15="http://schemas.microsoft.com/office/spreadsheetml/2010/11/main" uri="{DE250136-89BD-433C-8126-D09CA5730AF9}">
        <x15:connection id="6b196de4-3c92-4e89-92aa-03fbfa413556"/>
      </ext>
    </extLst>
  </connection>
  <connection id="6" xr16:uid="{0356911B-C5BD-4217-94C7-8275FF9DD9F7}" name="Query - Ferns and Petals Sales Analysis" description="Connection to the 'Ferns and Petals Sales Analysis' query in the workbook." type="100" refreshedVersion="8" minRefreshableVersion="5">
    <extLst>
      <ext xmlns:x15="http://schemas.microsoft.com/office/spreadsheetml/2010/11/main" uri="{DE250136-89BD-433C-8126-D09CA5730AF9}">
        <x15:connection id="9a3823fd-9f5d-4cf5-9332-5fac90236602"/>
      </ext>
    </extLst>
  </connection>
  <connection id="7" xr16:uid="{0D52DD95-EF4D-46C9-9C75-BCA9639B2552}" name="Query - Orders" description="Connection to the 'Orders' query in the workbook." type="100" refreshedVersion="8" minRefreshableVersion="5">
    <extLst>
      <ext xmlns:x15="http://schemas.microsoft.com/office/spreadsheetml/2010/11/main" uri="{DE250136-89BD-433C-8126-D09CA5730AF9}">
        <x15:connection id="d38c7096-6cee-4dc7-aecf-74e2c1680dec"/>
      </ext>
    </extLst>
  </connection>
  <connection id="8" xr16:uid="{143F217D-AFAE-4EB9-99D2-7DE005D2C02D}" name="Query - Products" description="Connection to the 'Products' query in the workbook." type="100" refreshedVersion="8" minRefreshableVersion="5">
    <extLst>
      <ext xmlns:x15="http://schemas.microsoft.com/office/spreadsheetml/2010/11/main" uri="{DE250136-89BD-433C-8126-D09CA5730AF9}">
        <x15:connection id="8891c5cf-a0c5-4fdf-b183-1accc1a23996"/>
      </ext>
    </extLst>
  </connection>
  <connection id="9" xr16:uid="{18744CD0-C170-4AF0-BEC1-F7633CBDD52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<sst xmlns="http://schemas.openxmlformats.org/spreadsheetml/2006/main" count="6007" uniqueCount="949">
  <si>
    <t>Name</t>
  </si>
  <si>
    <t>Extension</t>
  </si>
  <si>
    <t>Date accessed</t>
  </si>
  <si>
    <t>Date modified</t>
  </si>
  <si>
    <t>Date created</t>
  </si>
  <si>
    <t>Folder Path</t>
  </si>
  <si>
    <t>customers.csv</t>
  </si>
  <si>
    <t>.csv</t>
  </si>
  <si>
    <t>C:\Users\91801\Desktop\Excel projects\Ferns and Petals Sales Analysis\</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</si>
  <si>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</si>
  <si>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</si>
  <si>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</si>
  <si>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</si>
  <si>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</si>
  <si>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</si>
  <si>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</si>
  <si>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</si>
  <si>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</si>
  <si>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</si>
  <si>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</si>
  <si>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</si>
  <si>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</si>
  <si>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</si>
  <si>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</si>
  <si>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</si>
  <si>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</si>
  <si>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</si>
  <si>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</si>
  <si>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</si>
  <si>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</si>
  <si>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</si>
  <si>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</si>
  <si>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</si>
  <si>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</si>
  <si>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</si>
  <si>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</si>
  <si>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</si>
  <si>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</si>
  <si>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</si>
  <si>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</si>
  <si>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</si>
  <si>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</si>
  <si>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</si>
  <si>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</si>
  <si>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</si>
  <si>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</si>
  <si>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</si>
  <si>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</si>
  <si>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</si>
  <si>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</si>
  <si>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</si>
  <si>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</si>
  <si>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</si>
  <si>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</si>
  <si>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</si>
  <si>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</si>
  <si>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</si>
  <si>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</si>
  <si>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</si>
  <si>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</si>
  <si>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</si>
  <si>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</si>
  <si>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</si>
  <si>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</si>
  <si>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</si>
  <si>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</si>
  <si>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</si>
  <si>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</si>
  <si>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</si>
  <si>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</si>
  <si>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</si>
  <si>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</si>
  <si>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</si>
  <si>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</si>
  <si>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</si>
  <si>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</si>
  <si>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</si>
  <si>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</si>
  <si>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</si>
  <si>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</si>
  <si>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</si>
  <si>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</si>
  <si>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</si>
  <si>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</si>
  <si>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</si>
  <si>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</si>
  <si>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</si>
  <si>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</si>
  <si>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</si>
  <si>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</si>
  <si>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</si>
  <si>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</si>
  <si>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</si>
  <si>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</si>
  <si>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</si>
  <si>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</si>
  <si>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</si>
  <si>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</si>
  <si>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</si>
  <si>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</si>
  <si>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</si>
  <si>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</si>
  <si>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</si>
  <si>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</si>
  <si>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</si>
  <si>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</si>
  <si>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</si>
  <si>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</si>
  <si>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</si>
  <si>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</si>
  <si>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</si>
  <si>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</si>
  <si>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</si>
  <si>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</si>
  <si>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</si>
  <si>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</si>
  <si>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</si>
  <si>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</si>
  <si>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</si>
  <si>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</si>
  <si>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</si>
  <si>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</si>
  <si>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</si>
  <si>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</si>
  <si>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</si>
  <si>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</si>
  <si>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</si>
  <si>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</si>
  <si>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</si>
  <si>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</si>
  <si>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</si>
  <si>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</si>
  <si>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</si>
  <si>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</si>
  <si>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</si>
  <si>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</si>
  <si>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</si>
  <si>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</si>
  <si>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</si>
  <si>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</si>
  <si>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</si>
  <si>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</si>
  <si>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</si>
  <si>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</si>
  <si>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</si>
  <si>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</si>
  <si>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</si>
  <si>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</si>
  <si>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</si>
  <si>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</si>
  <si>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</si>
  <si>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</si>
  <si>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</si>
  <si>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</si>
  <si>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</si>
  <si>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</si>
  <si>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</si>
  <si>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</si>
  <si>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</si>
  <si>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</si>
  <si>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</si>
  <si>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</si>
  <si>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</si>
  <si>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</si>
  <si>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</si>
  <si>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</si>
  <si>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</si>
  <si>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</si>
  <si>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</si>
  <si>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</si>
  <si>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</si>
  <si>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</si>
  <si>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</si>
  <si>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</si>
  <si>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</si>
  <si>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</si>
  <si>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</si>
  <si>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</si>
  <si>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</si>
  <si>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</si>
  <si>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</si>
  <si>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</si>
  <si>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</si>
  <si>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</si>
  <si>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</si>
  <si>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</si>
  <si>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</si>
  <si>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</si>
  <si>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</si>
  <si>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</si>
  <si>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</si>
  <si>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</si>
  <si>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</si>
  <si>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</si>
  <si>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</si>
  <si>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</si>
  <si>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</si>
  <si>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</si>
  <si>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</si>
  <si>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</si>
  <si>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</si>
  <si>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</si>
  <si>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</si>
  <si>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</si>
  <si>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</si>
  <si>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</si>
  <si>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</si>
  <si>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</si>
  <si>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</si>
  <si>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</si>
  <si>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</si>
  <si>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</si>
  <si>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</si>
  <si>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</si>
  <si>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</si>
  <si>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</si>
  <si>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</si>
  <si>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</si>
  <si>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</si>
  <si>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</si>
  <si>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</si>
  <si>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</si>
  <si>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</si>
  <si>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</si>
  <si>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</si>
  <si>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</si>
  <si>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</si>
  <si>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</si>
  <si>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</si>
  <si>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</si>
  <si>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</si>
  <si>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</si>
  <si>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</si>
  <si>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</si>
  <si>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</si>
  <si>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</si>
  <si>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</si>
  <si>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</si>
  <si>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</si>
  <si>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</si>
  <si>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</si>
  <si>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</si>
  <si>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</si>
  <si>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</si>
  <si>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</si>
  <si>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</si>
  <si>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</si>
  <si>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</si>
  <si>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</si>
  <si>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</si>
  <si>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</si>
  <si>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</si>
  <si>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</si>
  <si>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</si>
  <si>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</si>
  <si>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</si>
  <si>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</si>
  <si>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</si>
  <si>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</si>
  <si>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</si>
  <si>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</si>
  <si>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</si>
  <si>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</si>
  <si>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</si>
  <si>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</si>
  <si>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</si>
  <si>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</si>
  <si>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</si>
  <si>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</si>
  <si>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</si>
  <si>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</si>
  <si>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</si>
  <si>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</si>
  <si>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</si>
  <si>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</si>
  <si>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</si>
  <si>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</si>
  <si>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</si>
  <si>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</si>
  <si>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</si>
  <si>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</si>
  <si>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</si>
  <si>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</si>
  <si>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</si>
  <si>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</si>
  <si>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</si>
  <si>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</si>
  <si>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</si>
  <si>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</si>
  <si>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</si>
  <si>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</si>
  <si>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</si>
  <si>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</si>
  <si>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</si>
  <si>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</si>
  <si>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</si>
  <si>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</si>
  <si>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</si>
  <si>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</si>
  <si>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</si>
  <si>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</si>
  <si>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</si>
  <si>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</si>
  <si>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</si>
  <si>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</si>
  <si>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</si>
  <si>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</si>
  <si>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</si>
  <si>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</si>
  <si>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</si>
  <si>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</si>
  <si>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</si>
  <si>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</si>
  <si>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</si>
  <si>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</si>
  <si>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</si>
  <si>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</si>
  <si>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</si>
  <si>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</si>
  <si>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</si>
  <si>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</si>
  <si>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</si>
  <si>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</si>
  <si>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</si>
  <si>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</si>
  <si>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</si>
  <si>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</si>
  <si>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</si>
  <si>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</si>
  <si>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</si>
  <si>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</si>
  <si>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</si>
  <si>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</si>
  <si>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</si>
  <si>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</si>
  <si>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</si>
  <si>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</si>
  <si>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</si>
  <si>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</si>
  <si>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</si>
  <si>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</si>
  <si>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</si>
  <si>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</si>
  <si>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</si>
  <si>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</si>
  <si>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</si>
  <si>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</si>
  <si>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</si>
  <si>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</si>
  <si>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</si>
  <si>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</si>
  <si>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</si>
  <si>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</si>
  <si>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</si>
  <si>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</si>
  <si>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</si>
  <si>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</si>
  <si>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</si>
  <si>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</si>
  <si>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</si>
  <si>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</si>
  <si>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</si>
  <si>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</si>
  <si>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</si>
  <si>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</si>
  <si>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</si>
  <si>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</si>
  <si>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</si>
  <si>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</si>
  <si>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</si>
  <si>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</si>
  <si>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</si>
  <si>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</si>
  <si>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</si>
  <si>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</si>
  <si>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</si>
  <si>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</si>
  <si>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</si>
  <si>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</si>
  <si>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</si>
  <si>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</si>
  <si>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</si>
  <si>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</si>
  <si>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</si>
  <si>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</si>
  <si>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</si>
  <si>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</si>
  <si>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</si>
  <si>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</si>
  <si>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</si>
  <si>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</si>
  <si>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</si>
  <si>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</si>
  <si>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</si>
  <si>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</si>
  <si>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</si>
  <si>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</si>
  <si>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</si>
  <si>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</si>
  <si>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</si>
  <si>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</si>
  <si>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</si>
  <si>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</si>
  <si>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</si>
  <si>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</si>
  <si>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</si>
  <si>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</si>
  <si>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</si>
  <si>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</si>
  <si>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</si>
  <si>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</si>
  <si>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</si>
  <si>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</si>
  <si>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</si>
  <si>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</si>
  <si>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</si>
  <si>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</si>
  <si>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</si>
  <si>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</si>
  <si>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</si>
  <si>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</si>
  <si>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</si>
  <si>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</si>
  <si>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</si>
  <si>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</si>
  <si>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</si>
  <si>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</si>
  <si>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</si>
  <si>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</si>
  <si>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</si>
  <si>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</si>
  <si>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</si>
  <si>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</si>
  <si>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</si>
  <si>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</si>
  <si>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</si>
  <si>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</si>
  <si>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</si>
  <si>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</si>
  <si>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</si>
  <si>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</si>
  <si>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</si>
  <si>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</si>
  <si>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</si>
  <si>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</si>
  <si>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</si>
  <si>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</si>
  <si>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</si>
  <si>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</si>
  <si>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</si>
  <si>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</si>
  <si>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</si>
  <si>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</si>
  <si>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</si>
  <si>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</si>
  <si>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</si>
  <si>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</si>
  <si>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</si>
  <si>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</si>
  <si>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</si>
  <si>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</si>
  <si>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</si>
  <si>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</si>
  <si>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</si>
  <si>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</si>
  <si>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</si>
  <si>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</si>
  <si>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</si>
  <si>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</si>
  <si>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</si>
  <si>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</si>
  <si>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</si>
  <si>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</si>
  <si>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</si>
  <si>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</si>
  <si>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</si>
  <si>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</si>
  <si>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</si>
  <si>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</si>
  <si>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</si>
  <si>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</si>
  <si>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</si>
  <si>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</si>
  <si>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</si>
  <si>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</si>
  <si>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</si>
  <si>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</si>
  <si>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</si>
  <si>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</si>
  <si>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</si>
  <si>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</si>
  <si>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</si>
  <si>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</si>
  <si>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</si>
  <si>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</si>
  <si>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</si>
  <si>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</si>
  <si>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</si>
  <si>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</si>
  <si>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</si>
  <si>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</si>
  <si>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</si>
  <si>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</si>
  <si>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</si>
  <si>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</si>
  <si>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</si>
  <si>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</si>
  <si>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</si>
  <si>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</si>
  <si>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</si>
  <si>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</si>
  <si>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</si>
  <si>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</si>
  <si>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</si>
  <si>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</si>
  <si>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</si>
  <si>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</si>
  <si>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</si>
  <si>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</si>
  <si>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</si>
  <si>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</si>
  <si>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</si>
  <si>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</si>
  <si>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</si>
  <si>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</si>
  <si>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</si>
  <si>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</si>
  <si>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</si>
  <si>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</si>
  <si>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</si>
  <si>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</si>
  <si>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</si>
  <si>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</si>
  <si>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</si>
  <si>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</si>
  <si>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</si>
  <si>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</si>
  <si>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</si>
  <si>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</si>
  <si>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</si>
  <si>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</si>
  <si>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</si>
  <si>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</si>
  <si>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</si>
  <si>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</si>
  <si>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</si>
  <si>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</si>
  <si>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</si>
  <si>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</si>
  <si>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</si>
  <si>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</si>
  <si>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</si>
  <si>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</si>
  <si>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</si>
  <si>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</si>
  <si>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</si>
  <si>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</si>
  <si>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</si>
  <si>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</si>
  <si>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</si>
  <si>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</si>
  <si>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</si>
  <si>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</si>
  <si>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</si>
  <si>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</si>
  <si>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</si>
  <si>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</si>
  <si>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</si>
  <si>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</si>
  <si>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</si>
  <si>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</si>
  <si>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</si>
  <si>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</si>
  <si>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</si>
  <si>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</si>
  <si>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</si>
  <si>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</si>
  <si>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</si>
  <si>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</si>
  <si>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</si>
  <si>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</si>
  <si>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</si>
  <si>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</si>
  <si>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</si>
  <si>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</si>
  <si>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</si>
  <si>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</si>
  <si>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</si>
  <si>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</si>
  <si>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</si>
  <si>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</si>
  <si>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</si>
  <si>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</si>
  <si>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</si>
  <si>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</si>
  <si>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</si>
  <si>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</si>
  <si>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</si>
  <si>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</si>
  <si>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</si>
  <si>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</si>
  <si>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</si>
  <si>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</si>
  <si>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</si>
  <si>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</si>
  <si>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</si>
  <si>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</si>
  <si>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</si>
  <si>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</si>
  <si>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</si>
  <si>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</si>
  <si>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</si>
  <si>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</si>
  <si>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</si>
  <si>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</si>
  <si>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Hour(ordertime)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</si>
  <si>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</si>
  <si>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</si>
  <si>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</si>
  <si>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</si>
  <si>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</si>
  <si>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</si>
  <si>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</si>
  <si>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</si>
  <si>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</si>
  <si>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</si>
  <si>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</si>
  <si>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</si>
  <si>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</si>
  <si>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</si>
  <si>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</si>
  <si>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</si>
  <si>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</si>
  <si>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</si>
  <si>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</si>
  <si>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</si>
  <si>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</si>
  <si>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</si>
  <si>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</si>
  <si>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</si>
  <si>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</si>
  <si>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</si>
  <si>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</si>
  <si>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</si>
  <si>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</si>
  <si>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</si>
  <si>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</si>
  <si>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</si>
  <si>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</si>
  <si>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</si>
  <si>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</si>
  <si>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</si>
  <si>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</si>
  <si>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</si>
  <si>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</si>
  <si>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</si>
  <si>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</si>
  <si>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</si>
  <si>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</si>
  <si>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</si>
  <si>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</si>
  <si>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</si>
  <si>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</si>
  <si>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</si>
  <si>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</si>
  <si>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</si>
  <si>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</si>
  <si>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</si>
  <si>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</si>
  <si>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</si>
  <si>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</si>
  <si>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</si>
  <si>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</si>
  <si>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</si>
  <si>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</si>
  <si>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</si>
  <si>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</si>
  <si>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</si>
  <si>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</si>
  <si>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</si>
  <si>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</si>
  <si>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</si>
  <si>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</si>
  <si>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</si>
  <si>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</si>
  <si>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</si>
  <si>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</si>
  <si>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</si>
  <si>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</si>
  <si>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</si>
  <si>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</si>
  <si>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</si>
  <si>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</si>
  <si>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</si>
  <si>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</si>
  <si>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</si>
  <si>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</si>
  <si>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</si>
  <si>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</si>
  <si>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</si>
  <si>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</si>
  <si>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</si>
  <si>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</si>
  <si>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</si>
  <si>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</si>
  <si>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</si>
  <si>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</si>
  <si>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</si>
  <si>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</si>
  <si>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</si>
  <si>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</si>
  <si>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</si>
  <si>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</si>
  <si>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</si>
  <si>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</si>
  <si>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</si>
  <si>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</si>
  <si>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</si>
  <si>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</si>
  <si>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</si>
  <si>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</si>
  <si>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</si>
  <si>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</si>
  <si>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</si>
  <si>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</si>
  <si>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</si>
  <si>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</si>
  <si>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</si>
  <si>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</si>
  <si>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</si>
  <si>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</si>
  <si>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</si>
  <si>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</si>
  <si>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</si>
  <si>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</si>
  <si>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</si>
  <si>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</si>
  <si>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</si>
  <si>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</si>
  <si>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</si>
  <si>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</si>
  <si>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</si>
  <si>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</si>
  <si>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</si>
  <si>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</si>
  <si>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</si>
  <si>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</si>
  <si>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</si>
  <si>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</si>
  <si>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</si>
  <si>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</si>
  <si>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</si>
  <si>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</si>
  <si>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</si>
  <si>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</si>
  <si>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</si>
  <si>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</si>
  <si>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</si>
  <si>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</si>
  <si>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</si>
  <si>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</si>
  <si>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</si>
  <si>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</si>
  <si>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</si>
  <si>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</si>
  <si>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</si>
  <si>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</si>
  <si>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</si>
  <si>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</si>
  <si>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</si>
  <si>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</si>
  <si>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</si>
  <si>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</si>
  <si>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</si>
  <si>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</si>
  <si>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</si>
  <si>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</si>
  <si>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</si>
  <si>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</si>
  <si>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</si>
  <si>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</si>
  <si>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</si>
  <si>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</si>
  <si>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</si>
  <si>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</si>
  <si>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</si>
  <si>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</si>
  <si>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</si>
  <si>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</si>
  <si>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</si>
  <si>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</si>
  <si>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</si>
  <si>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</si>
  <si>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</si>
  <si>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</si>
  <si>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</si>
  <si>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</si>
  <si>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</si>
  <si>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</si>
  <si>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</si>
  <si>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</si>
  <si>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</si>
  <si>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</si>
  <si>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</si>
  <si>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</si>
  <si>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</si>
  <si>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</si>
  <si>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</si>
  <si>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</si>
  <si>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</si>
  <si>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</si>
  <si>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</si>
  <si>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</si>
  <si>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</si>
  <si>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</si>
  <si>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</si>
  <si>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</si>
  <si>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</si>
  <si>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</si>
  <si>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</si>
  <si>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</si>
  <si>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</si>
  <si>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</si>
  <si>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</si>
  <si>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</si>
  <si>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</si>
  <si>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</si>
  <si>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</si>
  <si>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</si>
  <si>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</si>
  <si>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</si>
  <si>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</si>
  <si>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</si>
  <si>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</si>
  <si>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</si>
  <si>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</si>
  <si>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</si>
  <si>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</si>
  <si>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</si>
  <si>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</si>
  <si>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</si>
  <si>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</si>
  <si>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</si>
  <si>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</si>
  <si>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</si>
  <si>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</si>
  <si>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</si>
  <si>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</si>
  <si>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</si>
  <si>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</si>
  <si>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</si>
  <si>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</si>
  <si>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</si>
  <si>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</si>
  <si>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</si>
  <si>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</si>
  <si>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</si>
  <si>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</si>
  <si>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</si>
  <si>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</si>
  <si>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</si>
  <si>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</si>
  <si>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</si>
  <si>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</si>
  <si>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</si>
  <si>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</si>
  <si>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</si>
  <si>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</si>
  <si>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</si>
  <si>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</si>
  <si>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</si>
  <si>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</si>
  <si>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</si>
  <si>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</si>
  <si>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</si>
  <si>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</si>
  <si>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</si>
  <si>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</si>
  <si>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</si>
  <si>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</si>
  <si>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</si>
  <si>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</si>
  <si>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</si>
  <si>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</si>
  <si>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</si>
  <si>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</si>
  <si>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</si>
  <si>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</si>
  <si>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</si>
  <si>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</si>
  <si>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</si>
  <si>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</si>
  <si>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</si>
  <si>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</si>
  <si>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</si>
  <si>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</si>
  <si>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</si>
  <si>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</si>
  <si>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</si>
  <si>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</si>
  <si>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</si>
  <si>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</si>
  <si>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</si>
  <si>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</si>
  <si>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</si>
  <si>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</si>
  <si>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</si>
  <si>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</si>
  <si>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</si>
  <si>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</si>
  <si>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</si>
  <si>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</si>
  <si>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</si>
  <si>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</si>
  <si>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</si>
  <si>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</si>
  <si>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</si>
  <si>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</si>
  <si>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</si>
  <si>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</si>
  <si>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</si>
  <si>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</si>
  <si>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</si>
  <si>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</si>
  <si>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</si>
  <si>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</si>
  <si>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</si>
  <si>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</si>
  <si>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</si>
  <si>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</si>
  <si>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</si>
  <si>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</si>
  <si>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Grand Total</t>
  </si>
  <si>
    <t>Revenue</t>
  </si>
  <si>
    <t>Saturday</t>
  </si>
  <si>
    <t>Wednesday</t>
  </si>
  <si>
    <t>Friday</t>
  </si>
  <si>
    <t>Sunday</t>
  </si>
  <si>
    <t>Monday</t>
  </si>
  <si>
    <t>Tuesday</t>
  </si>
  <si>
    <t>Thursday</t>
  </si>
  <si>
    <t>Day of Order</t>
  </si>
  <si>
    <t>Sum of Revenue</t>
  </si>
  <si>
    <t>Average of Diff_order_delivery</t>
  </si>
  <si>
    <t>Months</t>
  </si>
  <si>
    <t>Average of Consumer spending</t>
  </si>
  <si>
    <t>Count of Order_ID</t>
  </si>
  <si>
    <t>Total orders placed</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</si>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</sst>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2" borderId="0" xfId="0" applyFill="1"/>
    <xf numFmtId="0"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2.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analysis.xlsx]Sheet1!PivotTable8</c:name>
    <c:fmtId val="21"/>
  </c:pivotSource>
  <c:chart>
    <c:title>
      <c:tx>
        <c:rich>
          <a:bodyPr/>
          <a:lstStyle/>
          <a:p>
            <a:pPr>
              <a:defRPr sz="1400"/>
            </a:pPr>
            <a:r>
              <a:rPr lang="en-US" sz="1400"/>
              <a:t>Revenue</a:t>
            </a:r>
            <a:r>
              <a:rPr lang="en-US" sz="1400" baseline="0"/>
              <a:t> by Occasions</a:t>
            </a:r>
            <a:endParaRPr lang="en-US" sz="1400"/>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Sheet1!$I$15</c:f>
              <c:strCache>
                <c:ptCount val="1"/>
                <c:pt idx="0">
                  <c:v>Total</c:v>
                </c:pt>
              </c:strCache>
            </c:strRef>
          </c:tx>
          <c:spPr>
            <a:solidFill>
              <a:schemeClr val="accent1"/>
            </a:solidFill>
            <a:ln>
              <a:noFill/>
            </a:ln>
            <a:effectLst/>
          </c:spPr>
          <c:invertIfNegative val="0"/>
          <c:cat>
            <c:strRef>
              <c:f>Sheet1!$H$16:$H$23</c:f>
              <c:strCache>
                <c:ptCount val="7"/>
                <c:pt idx="0">
                  <c:v>All Occasions</c:v>
                </c:pt>
                <c:pt idx="1">
                  <c:v>Anniversary</c:v>
                </c:pt>
                <c:pt idx="2">
                  <c:v>Birthday</c:v>
                </c:pt>
                <c:pt idx="3">
                  <c:v>Diwali</c:v>
                </c:pt>
                <c:pt idx="4">
                  <c:v>Holi</c:v>
                </c:pt>
                <c:pt idx="5">
                  <c:v>Raksha Bandhan</c:v>
                </c:pt>
                <c:pt idx="6">
                  <c:v>Valentine's Day</c:v>
                </c:pt>
              </c:strCache>
            </c:strRef>
          </c:cat>
          <c:val>
            <c:numRef>
              <c:f>Sheet1!$I$16:$I$23</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4-7B5B-41BD-8116-6C00DC284FDD}"/>
            </c:ext>
          </c:extLst>
        </c:ser>
        <c:dLbls>
          <c:dLblPos val="ctr"/>
          <c:showLegendKey val="0"/>
          <c:showVal val="0"/>
          <c:showCatName val="0"/>
          <c:showSerName val="0"/>
          <c:showPercent val="0"/>
          <c:showBubbleSize val="0"/>
        </c:dLbls>
        <c:gapWidth val="150"/>
        <c:overlap val="100"/>
        <c:axId val="1104263936"/>
        <c:axId val="1104265376"/>
      </c:barChart>
      <c:catAx>
        <c:axId val="110426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265376"/>
        <c:crosses val="autoZero"/>
        <c:auto val="1"/>
        <c:lblAlgn val="ctr"/>
        <c:lblOffset val="100"/>
        <c:noMultiLvlLbl val="0"/>
      </c:catAx>
      <c:valAx>
        <c:axId val="11042653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26393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analysis.xlsx]Sheet1!PivotTable6</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a:solidFill>
                  <a:schemeClr val="tx1"/>
                </a:solidFill>
              </a:rPr>
              <a:t>Revenue</a:t>
            </a:r>
            <a:r>
              <a:rPr lang="en-IN" sz="1400" b="1" baseline="0">
                <a:solidFill>
                  <a:schemeClr val="tx1"/>
                </a:solidFill>
              </a:rPr>
              <a:t> by Category</a:t>
            </a:r>
            <a:endParaRPr lang="en-IN"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Sheet1!$C$16</c:f>
              <c:strCache>
                <c:ptCount val="1"/>
                <c:pt idx="0">
                  <c:v>Total</c:v>
                </c:pt>
              </c:strCache>
            </c:strRef>
          </c:tx>
          <c:spPr>
            <a:solidFill>
              <a:schemeClr val="accent1"/>
            </a:solidFill>
            <a:ln>
              <a:noFill/>
            </a:ln>
            <a:effectLst/>
          </c:spPr>
          <c:invertIfNegative val="0"/>
          <c:cat>
            <c:strRef>
              <c:f>Sheet1!$B$17:$B$23</c:f>
              <c:strCache>
                <c:ptCount val="6"/>
                <c:pt idx="0">
                  <c:v>Cake</c:v>
                </c:pt>
                <c:pt idx="1">
                  <c:v>Colors</c:v>
                </c:pt>
                <c:pt idx="2">
                  <c:v>Mugs</c:v>
                </c:pt>
                <c:pt idx="3">
                  <c:v>Plants</c:v>
                </c:pt>
                <c:pt idx="4">
                  <c:v>Soft Toys</c:v>
                </c:pt>
                <c:pt idx="5">
                  <c:v>Sweets</c:v>
                </c:pt>
              </c:strCache>
            </c:strRef>
          </c:cat>
          <c:val>
            <c:numRef>
              <c:f>Sheet1!$C$17:$C$23</c:f>
              <c:numCache>
                <c:formatCode>"₹"\ #,##0.00;#,##0.00\ \-"₹";"₹"\ #,##0.00</c:formatCode>
                <c:ptCount val="6"/>
                <c:pt idx="0">
                  <c:v>91642</c:v>
                </c:pt>
                <c:pt idx="1">
                  <c:v>320798</c:v>
                </c:pt>
                <c:pt idx="2">
                  <c:v>69601</c:v>
                </c:pt>
                <c:pt idx="3">
                  <c:v>16880</c:v>
                </c:pt>
                <c:pt idx="4">
                  <c:v>24131</c:v>
                </c:pt>
                <c:pt idx="5">
                  <c:v>51630</c:v>
                </c:pt>
              </c:numCache>
            </c:numRef>
          </c:val>
          <c:extLst>
            <c:ext xmlns:c16="http://schemas.microsoft.com/office/drawing/2014/chart" uri="{C3380CC4-5D6E-409C-BE32-E72D297353CC}">
              <c16:uniqueId val="{00000000-4E4C-4A2C-BE60-DB16ED45E542}"/>
            </c:ext>
          </c:extLst>
        </c:ser>
        <c:dLbls>
          <c:showLegendKey val="0"/>
          <c:showVal val="0"/>
          <c:showCatName val="0"/>
          <c:showSerName val="0"/>
          <c:showPercent val="0"/>
          <c:showBubbleSize val="0"/>
        </c:dLbls>
        <c:gapWidth val="150"/>
        <c:overlap val="100"/>
        <c:axId val="1104255776"/>
        <c:axId val="1104272576"/>
      </c:barChart>
      <c:catAx>
        <c:axId val="110425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272576"/>
        <c:crosses val="autoZero"/>
        <c:auto val="1"/>
        <c:lblAlgn val="ctr"/>
        <c:lblOffset val="100"/>
        <c:noMultiLvlLbl val="0"/>
      </c:catAx>
      <c:valAx>
        <c:axId val="11042725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25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Revenue</a:t>
            </a:r>
            <a:r>
              <a:rPr lang="en-IN" b="1" baseline="0">
                <a:solidFill>
                  <a:schemeClr val="tx1"/>
                </a:solidFill>
              </a:rPr>
              <a:t> by Months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Sheet1!$B$2:$B$4</c:f>
              <c:strCache>
                <c:ptCount val="2"/>
                <c:pt idx="0">
                  <c:v>February</c:v>
                </c:pt>
                <c:pt idx="1">
                  <c:v>March</c:v>
                </c:pt>
              </c:strCache>
            </c:strRef>
          </c:cat>
          <c:val>
            <c:numRef>
              <c:f>Sheet1!$C$2:$C$4</c:f>
              <c:numCache>
                <c:formatCode>"₹"\ #,##0.00;#,##0.00\ \-"₹";"₹"\ #,##0.00</c:formatCode>
                <c:ptCount val="2"/>
                <c:pt idx="0">
                  <c:v>200380</c:v>
                </c:pt>
                <c:pt idx="1">
                  <c:v>374302</c:v>
                </c:pt>
              </c:numCache>
            </c:numRef>
          </c:val>
          <c:smooth val="0"/>
          <c:extLst>
            <c:ext xmlns:c16="http://schemas.microsoft.com/office/drawing/2014/chart" uri="{C3380CC4-5D6E-409C-BE32-E72D297353CC}">
              <c16:uniqueId val="{00000000-C729-40E0-A281-F41484B5A3B0}"/>
            </c:ext>
          </c:extLst>
        </c:ser>
        <c:dLbls>
          <c:showLegendKey val="0"/>
          <c:showVal val="0"/>
          <c:showCatName val="0"/>
          <c:showSerName val="0"/>
          <c:showPercent val="0"/>
          <c:showBubbleSize val="0"/>
        </c:dLbls>
        <c:smooth val="0"/>
        <c:axId val="1104276896"/>
        <c:axId val="1104277376"/>
      </c:lineChart>
      <c:catAx>
        <c:axId val="110427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277376"/>
        <c:crosses val="autoZero"/>
        <c:auto val="1"/>
        <c:lblAlgn val="ctr"/>
        <c:lblOffset val="100"/>
        <c:noMultiLvlLbl val="0"/>
      </c:catAx>
      <c:valAx>
        <c:axId val="11042773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27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0">
                <a:solidFill>
                  <a:schemeClr val="tx1"/>
                </a:solidFill>
              </a:rPr>
              <a:t>Top</a:t>
            </a:r>
            <a:r>
              <a:rPr lang="en-IN" b="1" i="0" baseline="0">
                <a:solidFill>
                  <a:schemeClr val="tx1"/>
                </a:solidFill>
              </a:rPr>
              <a:t> 5 products by Revenue</a:t>
            </a:r>
            <a:endParaRPr lang="en-IN" b="1" i="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Sheet1!$F$6</c:f>
              <c:strCache>
                <c:ptCount val="1"/>
                <c:pt idx="0">
                  <c:v>Total</c:v>
                </c:pt>
              </c:strCache>
            </c:strRef>
          </c:tx>
          <c:spPr>
            <a:solidFill>
              <a:schemeClr val="accent1"/>
            </a:solidFill>
            <a:ln>
              <a:noFill/>
            </a:ln>
            <a:effectLst/>
          </c:spPr>
          <c:invertIfNegative val="0"/>
          <c:cat>
            <c:strRef>
              <c:f>Sheet1!$E$7:$E$12</c:f>
              <c:strCache>
                <c:ptCount val="5"/>
                <c:pt idx="0">
                  <c:v>Et Set</c:v>
                </c:pt>
                <c:pt idx="1">
                  <c:v>Harum Pack</c:v>
                </c:pt>
                <c:pt idx="2">
                  <c:v>Nam Gift</c:v>
                </c:pt>
                <c:pt idx="3">
                  <c:v>Quos Box</c:v>
                </c:pt>
                <c:pt idx="4">
                  <c:v>Sed Set</c:v>
                </c:pt>
              </c:strCache>
            </c:strRef>
          </c:cat>
          <c:val>
            <c:numRef>
              <c:f>Sheet1!$F$7:$F$12</c:f>
              <c:numCache>
                <c:formatCode>"₹"\ #,##0.00;#,##0.00\ \-"₹";"₹"\ #,##0.00</c:formatCode>
                <c:ptCount val="5"/>
                <c:pt idx="0">
                  <c:v>69601</c:v>
                </c:pt>
                <c:pt idx="1">
                  <c:v>101556</c:v>
                </c:pt>
                <c:pt idx="2">
                  <c:v>91385</c:v>
                </c:pt>
                <c:pt idx="3">
                  <c:v>56712</c:v>
                </c:pt>
                <c:pt idx="4">
                  <c:v>54240</c:v>
                </c:pt>
              </c:numCache>
            </c:numRef>
          </c:val>
          <c:extLst>
            <c:ext xmlns:c16="http://schemas.microsoft.com/office/drawing/2014/chart" uri="{C3380CC4-5D6E-409C-BE32-E72D297353CC}">
              <c16:uniqueId val="{00000000-70A8-438D-89B6-3502B21B8321}"/>
            </c:ext>
          </c:extLst>
        </c:ser>
        <c:dLbls>
          <c:showLegendKey val="0"/>
          <c:showVal val="0"/>
          <c:showCatName val="0"/>
          <c:showSerName val="0"/>
          <c:showPercent val="0"/>
          <c:showBubbleSize val="0"/>
        </c:dLbls>
        <c:gapWidth val="150"/>
        <c:overlap val="100"/>
        <c:axId val="1104285056"/>
        <c:axId val="1104285536"/>
      </c:barChart>
      <c:catAx>
        <c:axId val="110428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285536"/>
        <c:crosses val="autoZero"/>
        <c:auto val="1"/>
        <c:lblAlgn val="ctr"/>
        <c:lblOffset val="100"/>
        <c:noMultiLvlLbl val="0"/>
      </c:catAx>
      <c:valAx>
        <c:axId val="11042855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28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Top</a:t>
            </a:r>
            <a:r>
              <a:rPr lang="en-IN" b="1" baseline="0">
                <a:solidFill>
                  <a:schemeClr val="tx1"/>
                </a:solidFill>
              </a:rPr>
              <a:t> 10 cities by Order</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Sheet1!$F$15</c:f>
              <c:strCache>
                <c:ptCount val="1"/>
                <c:pt idx="0">
                  <c:v>Total</c:v>
                </c:pt>
              </c:strCache>
            </c:strRef>
          </c:tx>
          <c:spPr>
            <a:solidFill>
              <a:schemeClr val="accent1"/>
            </a:solidFill>
            <a:ln>
              <a:noFill/>
            </a:ln>
            <a:effectLst/>
          </c:spPr>
          <c:invertIfNegative val="0"/>
          <c:cat>
            <c:strRef>
              <c:f>Sheet1!$E$16:$E$26</c:f>
              <c:strCache>
                <c:ptCount val="10"/>
                <c:pt idx="0">
                  <c:v>Berhampore</c:v>
                </c:pt>
                <c:pt idx="1">
                  <c:v>Bhatpara</c:v>
                </c:pt>
                <c:pt idx="2">
                  <c:v>Bilaspur</c:v>
                </c:pt>
                <c:pt idx="3">
                  <c:v>Dhanbad</c:v>
                </c:pt>
                <c:pt idx="4">
                  <c:v>Guna</c:v>
                </c:pt>
                <c:pt idx="5">
                  <c:v>Imphal</c:v>
                </c:pt>
                <c:pt idx="6">
                  <c:v>Kavali</c:v>
                </c:pt>
                <c:pt idx="7">
                  <c:v>North Dumdum</c:v>
                </c:pt>
                <c:pt idx="8">
                  <c:v>Orai</c:v>
                </c:pt>
                <c:pt idx="9">
                  <c:v>Panchkula</c:v>
                </c:pt>
              </c:strCache>
            </c:strRef>
          </c:cat>
          <c:val>
            <c:numRef>
              <c:f>Sheet1!$F$16:$F$26</c:f>
              <c:numCache>
                <c:formatCode>General</c:formatCode>
                <c:ptCount val="10"/>
                <c:pt idx="0">
                  <c:v>4</c:v>
                </c:pt>
                <c:pt idx="1">
                  <c:v>7</c:v>
                </c:pt>
                <c:pt idx="2">
                  <c:v>4</c:v>
                </c:pt>
                <c:pt idx="3">
                  <c:v>7</c:v>
                </c:pt>
                <c:pt idx="4">
                  <c:v>5</c:v>
                </c:pt>
                <c:pt idx="5">
                  <c:v>7</c:v>
                </c:pt>
                <c:pt idx="6">
                  <c:v>4</c:v>
                </c:pt>
                <c:pt idx="7">
                  <c:v>5</c:v>
                </c:pt>
                <c:pt idx="8">
                  <c:v>4</c:v>
                </c:pt>
                <c:pt idx="9">
                  <c:v>5</c:v>
                </c:pt>
              </c:numCache>
            </c:numRef>
          </c:val>
          <c:extLst>
            <c:ext xmlns:c16="http://schemas.microsoft.com/office/drawing/2014/chart" uri="{C3380CC4-5D6E-409C-BE32-E72D297353CC}">
              <c16:uniqueId val="{00000000-EDA0-4D09-BF9A-EC6512F9B42F}"/>
            </c:ext>
          </c:extLst>
        </c:ser>
        <c:dLbls>
          <c:showLegendKey val="0"/>
          <c:showVal val="0"/>
          <c:showCatName val="0"/>
          <c:showSerName val="0"/>
          <c:showPercent val="0"/>
          <c:showBubbleSize val="0"/>
        </c:dLbls>
        <c:gapWidth val="150"/>
        <c:overlap val="100"/>
        <c:axId val="1104294656"/>
        <c:axId val="1104278816"/>
      </c:barChart>
      <c:catAx>
        <c:axId val="110429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278816"/>
        <c:crosses val="autoZero"/>
        <c:auto val="1"/>
        <c:lblAlgn val="ctr"/>
        <c:lblOffset val="100"/>
        <c:noMultiLvlLbl val="0"/>
      </c:catAx>
      <c:valAx>
        <c:axId val="1104278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29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a:t>
            </a:r>
            <a:r>
              <a:rPr lang="en-US" b="1" baseline="0">
                <a:solidFill>
                  <a:schemeClr val="tx1"/>
                </a:solidFill>
              </a:rPr>
              <a:t> by Hour(Order Time)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Sheet1!$C$28</c:f>
              <c:strCache>
                <c:ptCount val="1"/>
                <c:pt idx="0">
                  <c:v>Total</c:v>
                </c:pt>
              </c:strCache>
            </c:strRef>
          </c:tx>
          <c:spPr>
            <a:ln w="28575" cap="rnd">
              <a:solidFill>
                <a:schemeClr val="accent1"/>
              </a:solidFill>
              <a:round/>
            </a:ln>
            <a:effectLst/>
          </c:spPr>
          <c:marker>
            <c:symbol val="none"/>
          </c:marker>
          <c:cat>
            <c:strRef>
              <c:f>Sheet1!$B$29:$B$53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Sheet1!$C$29:$C$53</c:f>
              <c:numCache>
                <c:formatCode>"₹"\ #,##0.00;#,##0.00\ \-"₹";"₹"\ #,##0.00</c:formatCode>
                <c:ptCount val="24"/>
                <c:pt idx="0">
                  <c:v>28728</c:v>
                </c:pt>
                <c:pt idx="1">
                  <c:v>21779</c:v>
                </c:pt>
                <c:pt idx="2">
                  <c:v>22832</c:v>
                </c:pt>
                <c:pt idx="3">
                  <c:v>33782</c:v>
                </c:pt>
                <c:pt idx="4">
                  <c:v>15783</c:v>
                </c:pt>
                <c:pt idx="5">
                  <c:v>30835</c:v>
                </c:pt>
                <c:pt idx="6">
                  <c:v>21130</c:v>
                </c:pt>
                <c:pt idx="7">
                  <c:v>19661</c:v>
                </c:pt>
                <c:pt idx="8">
                  <c:v>35804</c:v>
                </c:pt>
                <c:pt idx="9">
                  <c:v>11700</c:v>
                </c:pt>
                <c:pt idx="10">
                  <c:v>10213</c:v>
                </c:pt>
                <c:pt idx="11">
                  <c:v>17528</c:v>
                </c:pt>
                <c:pt idx="12">
                  <c:v>30902</c:v>
                </c:pt>
                <c:pt idx="13">
                  <c:v>23133</c:v>
                </c:pt>
                <c:pt idx="14">
                  <c:v>24232</c:v>
                </c:pt>
                <c:pt idx="15">
                  <c:v>29653</c:v>
                </c:pt>
                <c:pt idx="16">
                  <c:v>22272</c:v>
                </c:pt>
                <c:pt idx="17">
                  <c:v>43674</c:v>
                </c:pt>
                <c:pt idx="18">
                  <c:v>12696</c:v>
                </c:pt>
                <c:pt idx="19">
                  <c:v>20575</c:v>
                </c:pt>
                <c:pt idx="20">
                  <c:v>43064</c:v>
                </c:pt>
                <c:pt idx="21">
                  <c:v>26312</c:v>
                </c:pt>
                <c:pt idx="22">
                  <c:v>7062</c:v>
                </c:pt>
                <c:pt idx="23">
                  <c:v>21332</c:v>
                </c:pt>
              </c:numCache>
            </c:numRef>
          </c:val>
          <c:smooth val="0"/>
          <c:extLst>
            <c:ext xmlns:c16="http://schemas.microsoft.com/office/drawing/2014/chart" uri="{C3380CC4-5D6E-409C-BE32-E72D297353CC}">
              <c16:uniqueId val="{00000000-37A4-4B15-BCDC-6C33D8DFFE6A}"/>
            </c:ext>
          </c:extLst>
        </c:ser>
        <c:dLbls>
          <c:showLegendKey val="0"/>
          <c:showVal val="0"/>
          <c:showCatName val="0"/>
          <c:showSerName val="0"/>
          <c:showPercent val="0"/>
          <c:showBubbleSize val="0"/>
        </c:dLbls>
        <c:smooth val="0"/>
        <c:axId val="1104299456"/>
        <c:axId val="1104299936"/>
      </c:lineChart>
      <c:catAx>
        <c:axId val="110429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299936"/>
        <c:crosses val="autoZero"/>
        <c:auto val="1"/>
        <c:lblAlgn val="ctr"/>
        <c:lblOffset val="100"/>
        <c:tickLblSkip val="2"/>
        <c:tickMarkSkip val="2"/>
        <c:noMultiLvlLbl val="0"/>
      </c:catAx>
      <c:valAx>
        <c:axId val="11042999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29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320040</xdr:colOff>
      <xdr:row>0</xdr:row>
      <xdr:rowOff>121920</xdr:rowOff>
    </xdr:from>
    <xdr:to>
      <xdr:col>13</xdr:col>
      <xdr:colOff>320040</xdr:colOff>
      <xdr:row>14</xdr:row>
      <xdr:rowOff>28575</xdr:rowOff>
    </xdr:to>
    <mc:AlternateContent xmlns:mc="http://schemas.openxmlformats.org/markup-compatibility/2006" xmlns:a14="http://schemas.microsoft.com/office/drawing/2010/main">
      <mc:Choice Requires="a14">
        <xdr:graphicFrame macro="">
          <xdr:nvGraphicFramePr>
            <xdr:cNvPr id="3" name="Occasion">
              <a:extLst>
                <a:ext uri="{FF2B5EF4-FFF2-40B4-BE49-F238E27FC236}">
                  <a16:creationId xmlns:a16="http://schemas.microsoft.com/office/drawing/2014/main" id="{5638DB50-9B56-BE0C-7E76-13B82142E6C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029700" y="121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165216</xdr:colOff>
      <xdr:row>5</xdr:row>
      <xdr:rowOff>22857</xdr:rowOff>
    </xdr:from>
    <xdr:to>
      <xdr:col>6</xdr:col>
      <xdr:colOff>269125</xdr:colOff>
      <xdr:row>18</xdr:row>
      <xdr:rowOff>7623</xdr:rowOff>
    </xdr:to>
    <xdr:graphicFrame macro="">
      <xdr:nvGraphicFramePr>
        <xdr:cNvPr id="2" name="Chart 1">
          <a:extLst>
            <a:ext uri="{FF2B5EF4-FFF2-40B4-BE49-F238E27FC236}">
              <a16:creationId xmlns:a16="http://schemas.microsoft.com/office/drawing/2014/main" id="{2D58E7A2-D1AD-4093-8EA7-7AD91D269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347749</xdr:colOff>
      <xdr:row>5</xdr:row>
      <xdr:rowOff>30480</xdr:rowOff>
    </xdr:from>
    <xdr:to>
      <xdr:col>12</xdr:col>
      <xdr:colOff>597131</xdr:colOff>
      <xdr:row>18</xdr:row>
      <xdr:rowOff>30480</xdr:rowOff>
    </xdr:to>
    <xdr:graphicFrame macro="">
      <xdr:nvGraphicFramePr>
        <xdr:cNvPr id="3" name="Chart 2">
          <a:extLst>
            <a:ext uri="{FF2B5EF4-FFF2-40B4-BE49-F238E27FC236}">
              <a16:creationId xmlns:a16="http://schemas.microsoft.com/office/drawing/2014/main" id="{969A674D-A7A9-44EB-BFBA-67804912B7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158635</xdr:colOff>
      <xdr:row>18</xdr:row>
      <xdr:rowOff>99058</xdr:rowOff>
    </xdr:from>
    <xdr:to>
      <xdr:col>6</xdr:col>
      <xdr:colOff>283326</xdr:colOff>
      <xdr:row>31</xdr:row>
      <xdr:rowOff>160022</xdr:rowOff>
    </xdr:to>
    <xdr:graphicFrame macro="">
      <xdr:nvGraphicFramePr>
        <xdr:cNvPr id="4" name="Chart 3">
          <a:extLst>
            <a:ext uri="{FF2B5EF4-FFF2-40B4-BE49-F238E27FC236}">
              <a16:creationId xmlns:a16="http://schemas.microsoft.com/office/drawing/2014/main" id="{DB0AD8CD-B333-410C-95CB-828E2C58E9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340129</xdr:colOff>
      <xdr:row>18</xdr:row>
      <xdr:rowOff>121918</xdr:rowOff>
    </xdr:from>
    <xdr:to>
      <xdr:col>12</xdr:col>
      <xdr:colOff>589511</xdr:colOff>
      <xdr:row>32</xdr:row>
      <xdr:rowOff>2</xdr:rowOff>
    </xdr:to>
    <xdr:graphicFrame macro="">
      <xdr:nvGraphicFramePr>
        <xdr:cNvPr id="5" name="Chart 4">
          <a:extLst>
            <a:ext uri="{FF2B5EF4-FFF2-40B4-BE49-F238E27FC236}">
              <a16:creationId xmlns:a16="http://schemas.microsoft.com/office/drawing/2014/main" id="{EC9514D5-D1B6-472F-BE9B-9049BC325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82088</xdr:colOff>
      <xdr:row>18</xdr:row>
      <xdr:rowOff>129538</xdr:rowOff>
    </xdr:from>
    <xdr:to>
      <xdr:col>19</xdr:col>
      <xdr:colOff>352252</xdr:colOff>
      <xdr:row>32</xdr:row>
      <xdr:rowOff>7622</xdr:rowOff>
    </xdr:to>
    <xdr:graphicFrame macro="">
      <xdr:nvGraphicFramePr>
        <xdr:cNvPr id="6" name="Chart 5">
          <a:extLst>
            <a:ext uri="{FF2B5EF4-FFF2-40B4-BE49-F238E27FC236}">
              <a16:creationId xmlns:a16="http://schemas.microsoft.com/office/drawing/2014/main" id="{4702C405-C4DA-4D63-998D-EEA9697C0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81742</xdr:colOff>
      <xdr:row>5</xdr:row>
      <xdr:rowOff>76197</xdr:rowOff>
    </xdr:from>
    <xdr:to>
      <xdr:col>19</xdr:col>
      <xdr:colOff>344978</xdr:colOff>
      <xdr:row>18</xdr:row>
      <xdr:rowOff>60963</xdr:rowOff>
    </xdr:to>
    <xdr:graphicFrame macro="">
      <xdr:nvGraphicFramePr>
        <xdr:cNvPr id="7" name="Chart 6">
          <a:extLst>
            <a:ext uri="{FF2B5EF4-FFF2-40B4-BE49-F238E27FC236}">
              <a16:creationId xmlns:a16="http://schemas.microsoft.com/office/drawing/2014/main" id="{37627FB7-3BD1-4DA6-B7C8-910FE8F2A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99060</xdr:colOff>
      <xdr:row>0</xdr:row>
      <xdr:rowOff>91440</xdr:rowOff>
    </xdr:from>
    <xdr:to>
      <xdr:col>8</xdr:col>
      <xdr:colOff>289560</xdr:colOff>
      <xdr:row>4</xdr:row>
      <xdr:rowOff>167640</xdr:rowOff>
    </xdr:to>
    <xdr:sp macro="" textlink="Sheet1!H2">
      <xdr:nvSpPr>
        <xdr:cNvPr id="11" name="Rectangle: Rounded Corners 10">
          <a:extLst>
            <a:ext uri="{FF2B5EF4-FFF2-40B4-BE49-F238E27FC236}">
              <a16:creationId xmlns:a16="http://schemas.microsoft.com/office/drawing/2014/main" id="{55544C22-432E-4ADD-862E-D91AA44174D5}"/>
            </a:ext>
          </a:extLst>
        </xdr:cNvPr>
        <xdr:cNvSpPr/>
      </xdr:nvSpPr>
      <xdr:spPr>
        <a:xfrm>
          <a:off x="3147060" y="91440"/>
          <a:ext cx="2019300" cy="807720"/>
        </a:xfrm>
        <a:prstGeom prst="roundRect">
          <a:avLst>
            <a:gd name="adj" fmla="val 251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318BFE0-03FD-4C6C-832A-9FCADC7B461E}" type="TxLink">
            <a:rPr lang="en-US" sz="1600" b="0" i="0" u="none" strike="noStrike">
              <a:solidFill>
                <a:srgbClr val="000000"/>
              </a:solidFill>
              <a:latin typeface="Calibri"/>
              <a:ea typeface="Calibri"/>
              <a:cs typeface="Calibri"/>
            </a:rPr>
            <a:pPr algn="ctr"/>
            <a:t>180</a:t>
          </a:fld>
          <a:br>
            <a:rPr lang="en-US" sz="1600" b="0" i="0" u="none" strike="noStrike">
              <a:solidFill>
                <a:srgbClr val="000000"/>
              </a:solidFill>
              <a:latin typeface="Calibri"/>
              <a:ea typeface="Calibri"/>
              <a:cs typeface="Calibri"/>
            </a:rPr>
          </a:br>
          <a:r>
            <a:rPr lang="en-US" sz="1600" b="0" i="0" u="none" strike="noStrike">
              <a:solidFill>
                <a:srgbClr val="000000"/>
              </a:solidFill>
              <a:latin typeface="Calibri"/>
              <a:ea typeface="Calibri"/>
              <a:cs typeface="Calibri"/>
            </a:rPr>
            <a:t>TOTAL</a:t>
          </a:r>
          <a:r>
            <a:rPr lang="en-US" sz="1600" b="0" i="0" u="none" strike="noStrike" baseline="0">
              <a:solidFill>
                <a:srgbClr val="000000"/>
              </a:solidFill>
              <a:latin typeface="Calibri"/>
              <a:ea typeface="Calibri"/>
              <a:cs typeface="Calibri"/>
            </a:rPr>
            <a:t> ORDERS</a:t>
          </a:r>
          <a:endParaRPr lang="en-IN" sz="1600"/>
        </a:p>
      </xdr:txBody>
    </xdr:sp>
    <xdr:clientData/>
  </xdr:twoCellAnchor>
  <xdr:twoCellAnchor>
    <xdr:from>
      <xdr:col>8</xdr:col>
      <xdr:colOff>472440</xdr:colOff>
      <xdr:row>0</xdr:row>
      <xdr:rowOff>99060</xdr:rowOff>
    </xdr:from>
    <xdr:to>
      <xdr:col>12</xdr:col>
      <xdr:colOff>53340</xdr:colOff>
      <xdr:row>4</xdr:row>
      <xdr:rowOff>175260</xdr:rowOff>
    </xdr:to>
    <xdr:sp macro="" textlink="Sheet1!G2">
      <xdr:nvSpPr>
        <xdr:cNvPr id="12" name="Rectangle: Rounded Corners 11">
          <a:extLst>
            <a:ext uri="{FF2B5EF4-FFF2-40B4-BE49-F238E27FC236}">
              <a16:creationId xmlns:a16="http://schemas.microsoft.com/office/drawing/2014/main" id="{3C96B3BC-8D24-4429-A2E4-A5E2DA87ABC3}"/>
            </a:ext>
          </a:extLst>
        </xdr:cNvPr>
        <xdr:cNvSpPr/>
      </xdr:nvSpPr>
      <xdr:spPr>
        <a:xfrm>
          <a:off x="5349240" y="99060"/>
          <a:ext cx="2019300" cy="807720"/>
        </a:xfrm>
        <a:prstGeom prst="roundRect">
          <a:avLst>
            <a:gd name="adj" fmla="val 251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DD9C7ED-254D-476F-A10C-E84405BD5BA8}" type="TxLink">
            <a:rPr lang="en-US" sz="1600" b="0" i="0" u="none" strike="noStrike">
              <a:solidFill>
                <a:srgbClr val="000000"/>
              </a:solidFill>
              <a:latin typeface="Calibri"/>
              <a:ea typeface="Calibri"/>
              <a:cs typeface="Calibri"/>
            </a:rPr>
            <a:pPr algn="ctr"/>
            <a:t>₹ 5,74,682.00</a:t>
          </a:fld>
          <a:br>
            <a:rPr lang="en-US" sz="1600" b="0" i="0" u="none" strike="noStrike">
              <a:solidFill>
                <a:srgbClr val="000000"/>
              </a:solidFill>
              <a:latin typeface="Calibri"/>
              <a:ea typeface="Calibri"/>
              <a:cs typeface="Calibri"/>
            </a:rPr>
          </a:br>
          <a:r>
            <a:rPr lang="en-US" sz="1600" b="0" i="0" u="none" strike="noStrike">
              <a:solidFill>
                <a:srgbClr val="000000"/>
              </a:solidFill>
              <a:latin typeface="Calibri"/>
              <a:ea typeface="Calibri"/>
              <a:cs typeface="Calibri"/>
            </a:rPr>
            <a:t>TOTAL</a:t>
          </a:r>
          <a:r>
            <a:rPr lang="en-US" sz="1600" b="0" i="0" u="none" strike="noStrike" baseline="0">
              <a:solidFill>
                <a:srgbClr val="000000"/>
              </a:solidFill>
              <a:latin typeface="Calibri"/>
              <a:ea typeface="Calibri"/>
              <a:cs typeface="Calibri"/>
            </a:rPr>
            <a:t> REVENUE</a:t>
          </a:r>
          <a:endParaRPr lang="en-IN" sz="1600"/>
        </a:p>
      </xdr:txBody>
    </xdr:sp>
    <xdr:clientData/>
  </xdr:twoCellAnchor>
  <xdr:twoCellAnchor>
    <xdr:from>
      <xdr:col>12</xdr:col>
      <xdr:colOff>243840</xdr:colOff>
      <xdr:row>0</xdr:row>
      <xdr:rowOff>106680</xdr:rowOff>
    </xdr:from>
    <xdr:to>
      <xdr:col>15</xdr:col>
      <xdr:colOff>434340</xdr:colOff>
      <xdr:row>5</xdr:row>
      <xdr:rowOff>0</xdr:rowOff>
    </xdr:to>
    <xdr:sp macro="" textlink="Sheet1!F2">
      <xdr:nvSpPr>
        <xdr:cNvPr id="13" name="Rectangle: Rounded Corners 12">
          <a:extLst>
            <a:ext uri="{FF2B5EF4-FFF2-40B4-BE49-F238E27FC236}">
              <a16:creationId xmlns:a16="http://schemas.microsoft.com/office/drawing/2014/main" id="{09098EC8-8F63-44E6-B978-64DD8887FED4}"/>
            </a:ext>
          </a:extLst>
        </xdr:cNvPr>
        <xdr:cNvSpPr/>
      </xdr:nvSpPr>
      <xdr:spPr>
        <a:xfrm>
          <a:off x="7559040" y="106680"/>
          <a:ext cx="2019300" cy="807720"/>
        </a:xfrm>
        <a:prstGeom prst="roundRect">
          <a:avLst>
            <a:gd name="adj" fmla="val 251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4579897-1486-4CE7-8831-A97CE17FB7A6}" type="TxLink">
            <a:rPr lang="en-US" sz="1400" b="0" i="0" u="none" strike="noStrike">
              <a:solidFill>
                <a:srgbClr val="000000"/>
              </a:solidFill>
              <a:latin typeface="Calibri"/>
              <a:ea typeface="Calibri"/>
              <a:cs typeface="Calibri"/>
            </a:rPr>
            <a:pPr algn="ctr"/>
            <a:t>5.777777778</a:t>
          </a:fld>
          <a:br>
            <a:rPr lang="en-US" sz="1400" b="0" i="0" u="none" strike="noStrike">
              <a:solidFill>
                <a:srgbClr val="000000"/>
              </a:solidFill>
              <a:latin typeface="Calibri"/>
              <a:ea typeface="Calibri"/>
              <a:cs typeface="Calibri"/>
            </a:rPr>
          </a:br>
          <a:r>
            <a:rPr lang="en-US" sz="1400" b="0" i="0" u="none" strike="noStrike">
              <a:solidFill>
                <a:srgbClr val="000000"/>
              </a:solidFill>
              <a:latin typeface="Calibri"/>
              <a:ea typeface="Calibri"/>
              <a:cs typeface="Calibri"/>
            </a:rPr>
            <a:t>Avg day btw order &amp;</a:t>
          </a:r>
          <a:r>
            <a:rPr lang="en-US" sz="1400" b="0" i="0" u="none" strike="noStrike" baseline="0">
              <a:solidFill>
                <a:srgbClr val="000000"/>
              </a:solidFill>
              <a:latin typeface="Calibri"/>
              <a:ea typeface="Calibri"/>
              <a:cs typeface="Calibri"/>
            </a:rPr>
            <a:t> deivery</a:t>
          </a:r>
          <a:endParaRPr lang="en-IN" sz="1400"/>
        </a:p>
      </xdr:txBody>
    </xdr:sp>
    <xdr:clientData/>
  </xdr:twoCellAnchor>
  <xdr:twoCellAnchor>
    <xdr:from>
      <xdr:col>16</xdr:col>
      <xdr:colOff>22860</xdr:colOff>
      <xdr:row>0</xdr:row>
      <xdr:rowOff>99060</xdr:rowOff>
    </xdr:from>
    <xdr:to>
      <xdr:col>19</xdr:col>
      <xdr:colOff>213360</xdr:colOff>
      <xdr:row>4</xdr:row>
      <xdr:rowOff>175260</xdr:rowOff>
    </xdr:to>
    <xdr:sp macro="" textlink="Sheet1!E2">
      <xdr:nvSpPr>
        <xdr:cNvPr id="14" name="Rectangle: Rounded Corners 13">
          <a:extLst>
            <a:ext uri="{FF2B5EF4-FFF2-40B4-BE49-F238E27FC236}">
              <a16:creationId xmlns:a16="http://schemas.microsoft.com/office/drawing/2014/main" id="{D27CC56C-00EB-4DCD-AEFE-ECF74BF2E051}"/>
            </a:ext>
          </a:extLst>
        </xdr:cNvPr>
        <xdr:cNvSpPr/>
      </xdr:nvSpPr>
      <xdr:spPr>
        <a:xfrm>
          <a:off x="9776460" y="99060"/>
          <a:ext cx="2019300" cy="807720"/>
        </a:xfrm>
        <a:prstGeom prst="roundRect">
          <a:avLst>
            <a:gd name="adj" fmla="val 251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F4ADF39-1588-4056-8696-C64F124C2A32}" type="TxLink">
            <a:rPr lang="en-US" sz="1600" b="0" i="0" u="none" strike="noStrike">
              <a:solidFill>
                <a:srgbClr val="000000"/>
              </a:solidFill>
              <a:latin typeface="Calibri"/>
              <a:ea typeface="Calibri"/>
              <a:cs typeface="Calibri"/>
            </a:rPr>
            <a:pPr algn="ctr"/>
            <a:t>₹ 3,192.68</a:t>
          </a:fld>
          <a:br>
            <a:rPr lang="en-US" sz="1600" b="0" i="0" u="none" strike="noStrike">
              <a:solidFill>
                <a:srgbClr val="000000"/>
              </a:solidFill>
              <a:latin typeface="Calibri"/>
              <a:ea typeface="Calibri"/>
              <a:cs typeface="Calibri"/>
            </a:rPr>
          </a:br>
          <a:r>
            <a:rPr lang="en-US" sz="1600" b="0" i="0" u="none" strike="noStrike">
              <a:solidFill>
                <a:srgbClr val="000000"/>
              </a:solidFill>
              <a:latin typeface="Calibri"/>
              <a:ea typeface="Calibri"/>
              <a:cs typeface="Calibri"/>
            </a:rPr>
            <a:t>Avg. Customer's</a:t>
          </a:r>
          <a:r>
            <a:rPr lang="en-US" sz="1600" b="0" i="0" u="none" strike="noStrike" baseline="0">
              <a:solidFill>
                <a:srgbClr val="000000"/>
              </a:solidFill>
              <a:latin typeface="Calibri"/>
              <a:ea typeface="Calibri"/>
              <a:cs typeface="Calibri"/>
            </a:rPr>
            <a:t> spent</a:t>
          </a:r>
          <a:endParaRPr lang="en-IN" sz="1600"/>
        </a:p>
      </xdr:txBody>
    </xdr:sp>
    <xdr:clientData/>
  </xdr:twoCellAnchor>
  <xdr:twoCellAnchor editAs="oneCell">
    <xdr:from>
      <xdr:col>19</xdr:col>
      <xdr:colOff>381000</xdr:colOff>
      <xdr:row>15</xdr:row>
      <xdr:rowOff>0</xdr:rowOff>
    </xdr:from>
    <xdr:to>
      <xdr:col>23</xdr:col>
      <xdr:colOff>99060</xdr:colOff>
      <xdr:row>32</xdr:row>
      <xdr:rowOff>0</xdr:rowOff>
    </xdr:to>
    <mc:AlternateContent xmlns:mc="http://schemas.openxmlformats.org/markup-compatibility/2006" xmlns:a14="http://schemas.microsoft.com/office/drawing/2010/main">
      <mc:Choice Requires="a14">
        <xdr:graphicFrame macro="">
          <xdr:nvGraphicFramePr>
            <xdr:cNvPr id="15" name="Occasion 1">
              <a:extLst>
                <a:ext uri="{FF2B5EF4-FFF2-40B4-BE49-F238E27FC236}">
                  <a16:creationId xmlns:a16="http://schemas.microsoft.com/office/drawing/2014/main" id="{90F0670D-E2C9-4BB2-90A2-ACD4B8E416BA}"/>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1963400" y="2743200"/>
              <a:ext cx="2156460" cy="3108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403860</xdr:colOff>
      <xdr:row>0</xdr:row>
      <xdr:rowOff>106680</xdr:rowOff>
    </xdr:from>
    <xdr:to>
      <xdr:col>23</xdr:col>
      <xdr:colOff>114300</xdr:colOff>
      <xdr:row>7</xdr:row>
      <xdr:rowOff>106680</xdr:rowOff>
    </xdr:to>
    <mc:AlternateContent xmlns:mc="http://schemas.openxmlformats.org/markup-compatibility/2006" xmlns:tsle="http://schemas.microsoft.com/office/drawing/2012/timeslicer">
      <mc:Choice Requires="tsle">
        <xdr:graphicFrame macro="">
          <xdr:nvGraphicFramePr>
            <xdr:cNvPr id="8" name="Order_Date">
              <a:extLst>
                <a:ext uri="{FF2B5EF4-FFF2-40B4-BE49-F238E27FC236}">
                  <a16:creationId xmlns:a16="http://schemas.microsoft.com/office/drawing/2014/main" id="{D3D31ED7-14AC-587A-71AC-17BCC4C4BEC2}"/>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986260" y="106680"/>
              <a:ext cx="2148840" cy="12801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411480</xdr:colOff>
      <xdr:row>7</xdr:row>
      <xdr:rowOff>167640</xdr:rowOff>
    </xdr:from>
    <xdr:to>
      <xdr:col>23</xdr:col>
      <xdr:colOff>121920</xdr:colOff>
      <xdr:row>14</xdr:row>
      <xdr:rowOff>152400</xdr:rowOff>
    </xdr:to>
    <mc:AlternateContent xmlns:mc="http://schemas.openxmlformats.org/markup-compatibility/2006">
      <mc:Choice xmlns:tsle="http://schemas.microsoft.com/office/drawing/2012/timeslicer" Requires="tsle">
        <xdr:graphicFrame macro="">
          <xdr:nvGraphicFramePr>
            <xdr:cNvPr id="9" name="Delivery_Date">
              <a:extLst>
                <a:ext uri="{FF2B5EF4-FFF2-40B4-BE49-F238E27FC236}">
                  <a16:creationId xmlns:a16="http://schemas.microsoft.com/office/drawing/2014/main" id="{00F38D3F-05C9-5EE7-8B99-79ED6F877DF2}"/>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993880" y="1447800"/>
              <a:ext cx="2148840" cy="12649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160020</xdr:colOff>
      <xdr:row>0</xdr:row>
      <xdr:rowOff>76200</xdr:rowOff>
    </xdr:from>
    <xdr:to>
      <xdr:col>4</xdr:col>
      <xdr:colOff>579120</xdr:colOff>
      <xdr:row>4</xdr:row>
      <xdr:rowOff>152400</xdr:rowOff>
    </xdr:to>
    <xdr:sp macro="" textlink="">
      <xdr:nvSpPr>
        <xdr:cNvPr id="16" name="Rectangle: Rounded Corners 15">
          <a:extLst>
            <a:ext uri="{FF2B5EF4-FFF2-40B4-BE49-F238E27FC236}">
              <a16:creationId xmlns:a16="http://schemas.microsoft.com/office/drawing/2014/main" id="{53C74FB0-E5FA-42A6-8256-CCAC34F905F1}"/>
            </a:ext>
          </a:extLst>
        </xdr:cNvPr>
        <xdr:cNvSpPr/>
      </xdr:nvSpPr>
      <xdr:spPr>
        <a:xfrm>
          <a:off x="160020" y="76200"/>
          <a:ext cx="2857500" cy="807720"/>
        </a:xfrm>
        <a:prstGeom prst="roundRect">
          <a:avLst>
            <a:gd name="adj" fmla="val 251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rgbClr val="000000"/>
              </a:solidFill>
              <a:latin typeface="Calibri"/>
              <a:ea typeface="Calibri"/>
              <a:cs typeface="Calibri"/>
            </a:rPr>
            <a:t>          </a:t>
          </a:r>
          <a:r>
            <a:rPr lang="en-IN" sz="2400" b="0" i="0" u="none" strike="noStrike">
              <a:solidFill>
                <a:srgbClr val="000000"/>
              </a:solidFill>
              <a:latin typeface="Calibri"/>
              <a:ea typeface="Calibri"/>
              <a:cs typeface="Calibri"/>
            </a:rPr>
            <a:t>Sales</a:t>
          </a:r>
          <a:r>
            <a:rPr lang="en-IN" sz="1800" b="0" i="0" u="none" strike="noStrike" baseline="0">
              <a:solidFill>
                <a:srgbClr val="000000"/>
              </a:solidFill>
              <a:latin typeface="Calibri"/>
              <a:ea typeface="Calibri"/>
              <a:cs typeface="Calibri"/>
            </a:rPr>
            <a:t> </a:t>
          </a:r>
          <a:r>
            <a:rPr lang="en-IN" sz="2400" b="0" i="0" u="none" strike="noStrike" baseline="0">
              <a:solidFill>
                <a:srgbClr val="000000"/>
              </a:solidFill>
              <a:latin typeface="Calibri"/>
              <a:ea typeface="Calibri"/>
              <a:cs typeface="Calibri"/>
            </a:rPr>
            <a:t>Analysis</a:t>
          </a:r>
          <a:endParaRPr lang="en-IN" sz="2400" b="0" i="0" u="none" strike="noStrike">
            <a:solidFill>
              <a:srgbClr val="000000"/>
            </a:solidFill>
            <a:latin typeface="Calibri"/>
            <a:ea typeface="Calibri"/>
            <a:cs typeface="Calibri"/>
          </a:endParaRPr>
        </a:p>
      </xdr:txBody>
    </xdr:sp>
    <xdr:clientData/>
  </xdr:twoCellAnchor>
  <xdr:twoCellAnchor editAs="oneCell">
    <xdr:from>
      <xdr:col>0</xdr:col>
      <xdr:colOff>236220</xdr:colOff>
      <xdr:row>0</xdr:row>
      <xdr:rowOff>121920</xdr:rowOff>
    </xdr:from>
    <xdr:to>
      <xdr:col>1</xdr:col>
      <xdr:colOff>327660</xdr:colOff>
      <xdr:row>4</xdr:row>
      <xdr:rowOff>91440</xdr:rowOff>
    </xdr:to>
    <xdr:pic>
      <xdr:nvPicPr>
        <xdr:cNvPr id="17" name="Picture 16">
          <a:extLst>
            <a:ext uri="{FF2B5EF4-FFF2-40B4-BE49-F238E27FC236}">
              <a16:creationId xmlns:a16="http://schemas.microsoft.com/office/drawing/2014/main" id="{18F42C0C-786E-62B0-AC18-F4C60FBDBFB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36220" y="121920"/>
          <a:ext cx="701040" cy="7010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dhisattva Dasgupta" refreshedDate="46106.890384375001" backgroundQuery="1" createdVersion="8" refreshedVersion="8" minRefreshableVersion="3" recordCount="0" supportSubquery="1" supportAdvancedDrill="1" xr:uid="{C71F60D5-AAF9-4E83-A1DC-FD758571B9B3}">
  <cacheSource type="external" connectionId="9"/>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caption="Day of Order" attribute="1" defaultMemberUniqueName="[Orders].[Day of Order].[All]" allUniqueName="[Orders].[Day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Analysis" caption="Ferns and Petals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dhisattva Dasgupta" refreshedDate="46114.901786805553" backgroundQuery="1" createdVersion="8" refreshedVersion="8" minRefreshableVersion="3" recordCount="0" supportSubquery="1" supportAdvancedDrill="1" xr:uid="{9D4E2A61-8EB4-4F2D-8567-A5C239C6F1FE}">
  <cacheSource type="external" connectionId="9"/>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Et Set"/>
        <s v="Harum Pack"/>
        <s v="Nam Gift"/>
        <s v="Quos Box"/>
        <s v="Sed Set"/>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caption="Day of Order" attribute="1" defaultMemberUniqueName="[Orders].[Day of Order].[All]" allUniqueName="[Orders].[Day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Analysis" caption="Ferns and Petals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dhisattva Dasgupta" refreshedDate="46114.90178738426" backgroundQuery="1" createdVersion="8" refreshedVersion="8" minRefreshableVersion="3" recordCount="0" supportSubquery="1" supportAdvancedDrill="1" xr:uid="{82C7D08E-1D66-4511-A5C6-7E80C008A294}">
  <cacheSource type="external" connectionId="9"/>
  <cacheFields count="5">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Exercitationem Pack"/>
        <s v="Expedita Gift"/>
        <s v="Fugit Set"/>
        <s v="Magnam Set"/>
        <s v="Nihil Box"/>
      </sharedItems>
    </cacheField>
    <cacheField name="[Orders].[Occasion].[Occasion]" caption="Occasion" numFmtId="0" hierarchy="23" level="1">
      <sharedItems containsSemiMixedTypes="0" containsNonDate="0" containsString="0"/>
    </cacheField>
    <cacheField name="[Orders].[Hour(ordertime)].[Hour(ordertime)]" caption="Hour(order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time)].&amp;[0]"/>
            <x15:cachedUniqueName index="1" name="[Orders].[Hour(ordertime)].&amp;[1]"/>
            <x15:cachedUniqueName index="2" name="[Orders].[Hour(ordertime)].&amp;[2]"/>
            <x15:cachedUniqueName index="3" name="[Orders].[Hour(ordertime)].&amp;[3]"/>
            <x15:cachedUniqueName index="4" name="[Orders].[Hour(ordertime)].&amp;[4]"/>
            <x15:cachedUniqueName index="5" name="[Orders].[Hour(ordertime)].&amp;[5]"/>
            <x15:cachedUniqueName index="6" name="[Orders].[Hour(ordertime)].&amp;[6]"/>
            <x15:cachedUniqueName index="7" name="[Orders].[Hour(ordertime)].&amp;[7]"/>
            <x15:cachedUniqueName index="8" name="[Orders].[Hour(ordertime)].&amp;[8]"/>
            <x15:cachedUniqueName index="9" name="[Orders].[Hour(ordertime)].&amp;[9]"/>
            <x15:cachedUniqueName index="10" name="[Orders].[Hour(ordertime)].&amp;[10]"/>
            <x15:cachedUniqueName index="11" name="[Orders].[Hour(ordertime)].&amp;[11]"/>
            <x15:cachedUniqueName index="12" name="[Orders].[Hour(ordertime)].&amp;[12]"/>
            <x15:cachedUniqueName index="13" name="[Orders].[Hour(ordertime)].&amp;[13]"/>
            <x15:cachedUniqueName index="14" name="[Orders].[Hour(ordertime)].&amp;[14]"/>
            <x15:cachedUniqueName index="15" name="[Orders].[Hour(ordertime)].&amp;[15]"/>
            <x15:cachedUniqueName index="16" name="[Orders].[Hour(ordertime)].&amp;[16]"/>
            <x15:cachedUniqueName index="17" name="[Orders].[Hour(ordertime)].&amp;[17]"/>
            <x15:cachedUniqueName index="18" name="[Orders].[Hour(ordertime)].&amp;[18]"/>
            <x15:cachedUniqueName index="19" name="[Orders].[Hour(ordertime)].&amp;[19]"/>
            <x15:cachedUniqueName index="20" name="[Orders].[Hour(ordertime)].&amp;[20]"/>
            <x15:cachedUniqueName index="21" name="[Orders].[Hour(ordertime)].&amp;[21]"/>
            <x15:cachedUniqueName index="22" name="[Orders].[Hour(ordertime)].&amp;[22]"/>
            <x15:cachedUniqueName index="23" name="[Orders].[Hour(ordertime)].&amp;[23]"/>
          </x15:cachedUniqueNames>
        </ext>
      </extLst>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2" memberValueDatatype="20" unbalanced="0">
      <fieldsUsage count="2">
        <fieldUsage x="-1"/>
        <fieldUsage x="4"/>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caption="Day of Order" attribute="1" defaultMemberUniqueName="[Orders].[Day of Order].[All]" allUniqueName="[Orders].[Day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Analysis" caption="Ferns and Petals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dhisattva Dasgupta" refreshedDate="46114.901787847222" backgroundQuery="1" createdVersion="8" refreshedVersion="8" minRefreshableVersion="3" recordCount="0" supportSubquery="1" supportAdvancedDrill="1" xr:uid="{1A2E2D72-3626-46BC-ADA8-30DA142D53F7}">
  <cacheSource type="external" connectionId="9"/>
  <cacheFields count="3">
    <cacheField name="[Measures].[Sum of Revenue]" caption="Sum of Revenue" numFmtId="0" hierarchy="37" level="32767"/>
    <cacheField name="[Orders].[Month Name].[Month Name]" caption="Month Name" numFmtId="0" hierarchy="24" level="1">
      <sharedItems count="2">
        <s v="February"/>
        <s v="March"/>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caption="Day of Order" attribute="1" defaultMemberUniqueName="[Orders].[Day of Order].[All]" allUniqueName="[Orders].[Day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Analysis" caption="Ferns and Petals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dhisattva Dasgupta" refreshedDate="46114.901788194446" backgroundQuery="1" createdVersion="8" refreshedVersion="8" minRefreshableVersion="3" recordCount="0" supportSubquery="1" supportAdvancedDrill="1" xr:uid="{ECAAF001-D860-4132-946D-946401991A27}">
  <cacheSource type="external" connectionId="9"/>
  <cacheFields count="3">
    <cacheField name="[Measures].[Average of Diff_order_delivery]" caption="Average of Diff_order_delivery" numFmtId="0" hierarchy="39" level="32767"/>
    <cacheField name="[Measures].[Average of Revenue]" caption="Average of Revenue" numFmtId="0" hierarchy="40"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caption="Day of Order" attribute="1" defaultMemberUniqueName="[Orders].[Day of Order].[All]" allUniqueName="[Orders].[Day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Analysis" caption="Ferns and Petals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dhisattva Dasgupta" refreshedDate="46114.901788541669" backgroundQuery="1" createdVersion="8" refreshedVersion="8" minRefreshableVersion="3" recordCount="0" supportSubquery="1" supportAdvancedDrill="1" xr:uid="{20A57A73-B0B9-448D-98EF-17AB658FC914}">
  <cacheSource type="external" connectionId="9"/>
  <cacheFields count="5">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Measures].[Count of Order_ID]" caption="Count of Order_ID" numFmtId="0" hierarchy="42" level="32767"/>
    <cacheField name="[Measures].[Total Revenue]" caption="Total Revenue" numFmtId="0" hierarchy="43"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caption="Day of Order" attribute="1" defaultMemberUniqueName="[Orders].[Day of Order].[All]" allUniqueName="[Orders].[Day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oneField="1">
      <fieldsUsage count="1">
        <fieldUsage x="3"/>
      </fieldsUsage>
    </cacheHierarchy>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Analysis" caption="Ferns and Petals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dhisattva Dasgupta" refreshedDate="46114.901788888892" backgroundQuery="1" createdVersion="8" refreshedVersion="8" minRefreshableVersion="3" recordCount="0" supportSubquery="1" supportAdvancedDrill="1" xr:uid="{89B53749-0B33-450A-ABD3-8EC1BE209F7A}">
  <cacheSource type="external" connectionId="9"/>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6">
        <s v="Cake"/>
        <s v="Colors"/>
        <s v="Mugs"/>
        <s v="Plants"/>
        <s v="Soft Toys"/>
        <s v="Sweets"/>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2"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2"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2"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2"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2"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2"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of Order]" caption="Day of Order" attribute="1" defaultMemberUniqueName="[Orders].[Day of Order].[All]" allUniqueName="[Orders].[Day of 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Analysis" caption="Ferns and Petals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dhisattva Dasgupta" refreshedDate="46114.901789351854" backgroundQuery="1" createdVersion="8" refreshedVersion="8" minRefreshableVersion="3" recordCount="0" supportSubquery="1" supportAdvancedDrill="1" xr:uid="{74EE373B-AF99-46D0-B9BA-41184A37BD23}">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erhampore"/>
        <s v="Bhatpara"/>
        <s v="Bilaspur"/>
        <s v="Dhanbad"/>
        <s v="Guna"/>
        <s v="Imphal"/>
        <s v="Kavali"/>
        <s v="North Dumdum"/>
        <s v="Orai"/>
        <s v="Panchkula"/>
      </sharedItems>
    </cacheField>
    <cacheField name="[Measures].[Count of Order_ID]" caption="Count of Order_ID" numFmtId="0" hierarchy="42"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caption="Day of Order" attribute="1" defaultMemberUniqueName="[Orders].[Day of Order].[All]" allUniqueName="[Orders].[Day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Analysis" caption="Ferns and Petals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dhisattva Dasgupta" refreshedDate="46106.890378009259" backgroundQuery="1" createdVersion="3" refreshedVersion="8" minRefreshableVersion="3" recordCount="0" supportSubquery="1" supportAdvancedDrill="1" xr:uid="{5B5B30E0-CB0D-4B3D-AAC7-7A650E46CDAF}">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caption="Day of Order" attribute="1" defaultMemberUniqueName="[Orders].[Day of Order].[All]" allUniqueName="[Orders].[Day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69289443"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dhisattva Dasgupta" refreshedDate="46107.786016203703" backgroundQuery="1" createdVersion="3" refreshedVersion="8" minRefreshableVersion="3" recordCount="0" supportSubquery="1" supportAdvancedDrill="1" xr:uid="{4F4C21CD-A208-47CF-891E-686B33937FF3}">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caption="Day of Order" attribute="1" defaultMemberUniqueName="[Orders].[Day of Order].[All]" allUniqueName="[Orders].[Day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35202337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41D845-D59A-47FB-B79A-A67F47D9C980}" name="PivotTable7" cacheId="300" applyNumberFormats="0" applyBorderFormats="0" applyFontFormats="0" applyPatternFormats="0" applyAlignmentFormats="0" applyWidthHeightFormats="1" dataCaption="Values" tag="7f05fded-8e76-4815-b87c-edc704c2daa2" updatedVersion="8" minRefreshableVersion="3" useAutoFormatting="1" subtotalHiddenItems="1" itemPrintTitles="1" createdVersion="8" indent="0" outline="1" outlineData="1" multipleFieldFilters="0" chartFormat="5" rowHeaderCaption="City">
  <location ref="E15:F26"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F000D6-6DF9-4404-B5FB-1B252E926302}" name="PivotTable5" cacheId="294" applyNumberFormats="0" applyBorderFormats="0" applyFontFormats="0" applyPatternFormats="0" applyAlignmentFormats="0" applyWidthHeightFormats="1" dataCaption="Values" tag="135f2757-31e5-4e1c-b461-2aed3aebc926" updatedVersion="8" minRefreshableVersion="3" useAutoFormatting="1" subtotalHiddenItems="1" itemPrintTitles="1" createdVersion="8" indent="0" outline="1" outlineData="1" multipleFieldFilters="0" rowHeaderCaption="Months">
  <location ref="G1:I2" firstHeaderRow="0" firstDataRow="1" firstDataCol="0"/>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Revenue" fld="0" baseField="0" baseItem="0"/>
    <dataField name="Total orders placed" fld="2" subtotal="count" baseField="0" baseItem="1"/>
    <dataField fld="3"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s 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D43080-CDEE-4757-8E62-0FD8792BDD95}" name="PivotTable2" cacheId="288" applyNumberFormats="0" applyBorderFormats="0" applyFontFormats="0" applyPatternFormats="0" applyAlignmentFormats="0" applyWidthHeightFormats="1" dataCaption="Values" tag="65af0670-8788-4f4a-8c24-2221263baee7" updatedVersion="8" minRefreshableVersion="3" useAutoFormatting="1" subtotalHiddenItems="1" itemPrintTitles="1" createdVersion="8" indent="0" outline="1" outlineData="1" multipleFieldFilters="0" chartFormat="7" rowHeaderCaption="Months">
  <location ref="B1:C4" firstHeaderRow="1" firstDataRow="1" firstDataCol="1"/>
  <pivotFields count="3">
    <pivotField dataField="1" subtotalTop="0" showAll="0" defaultSubtotal="0"/>
    <pivotField axis="axisRow" allDrilled="1" subtotalTop="0" showAll="0" sortType="ascending"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7B4832-CDCA-414A-A4CF-71AECC5E2215}" name="PivotTable6" cacheId="297" applyNumberFormats="0" applyBorderFormats="0" applyFontFormats="0" applyPatternFormats="0" applyAlignmentFormats="0" applyWidthHeightFormats="1" dataCaption="Values" tag="887d112b-6c33-4b76-8cb5-63713cd46f54" updatedVersion="8" minRefreshableVersion="5" useAutoFormatting="1" subtotalHiddenItems="1" itemPrintTitles="1" createdVersion="8" indent="0" outline="1" outlineData="1" multipleFieldFilters="0" chartFormat="9" rowHeaderCaption="Months">
  <location ref="B16:C2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Items count="1">
    <i/>
  </colItems>
  <dataFields count="1">
    <dataField name="Sum of 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F8BFB2-017D-46E9-815E-53D99B63A8FD}" name="PivotTable3" cacheId="291" applyNumberFormats="0" applyBorderFormats="0" applyFontFormats="0" applyPatternFormats="0" applyAlignmentFormats="0" applyWidthHeightFormats="1" dataCaption="Values" tag="00554e6a-b42d-498a-ac2b-08d152c070fd" updatedVersion="8" minRefreshableVersion="3" useAutoFormatting="1" subtotalHiddenItems="1" itemPrintTitles="1" createdVersion="8" indent="0" outline="1" outlineData="1" multipleFieldFilters="0">
  <location ref="E1:F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Average of Consumer spending" fld="1" subtotal="average" baseField="0" baseItem="1"/>
    <dataField name="Average of Diff_order_delivery"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onsumer spending"/>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022EC7-E7DB-4D1B-A927-A8AF3F07F56D}" name="PivotTable8" cacheId="0" applyNumberFormats="0" applyBorderFormats="0" applyFontFormats="0" applyPatternFormats="0" applyAlignmentFormats="0" applyWidthHeightFormats="1" dataCaption="Values" tag="95b9bbb5-c20d-4311-941f-7f6dc79bc2f5" updatedVersion="8" minRefreshableVersion="3" useAutoFormatting="1" subtotalHiddenItems="1" itemPrintTitles="1" createdVersion="8" indent="0" outline="1" outlineData="1" multipleFieldFilters="0" chartFormat="26" rowHeaderCaption="Months">
  <location ref="H15:I23"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21" format="3"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CB60B8-C818-477F-A091-DD0FFEAD546C}" name="PivotTable4" cacheId="282" applyNumberFormats="0" applyBorderFormats="0" applyFontFormats="0" applyPatternFormats="0" applyAlignmentFormats="0" applyWidthHeightFormats="1" dataCaption="Values" tag="bce810a2-908f-49f6-907b-6b82b0821030" updatedVersion="8" minRefreshableVersion="3" useAutoFormatting="1" subtotalHiddenItems="1" itemPrintTitles="1" createdVersion="8" indent="0" outline="1" outlineData="1" multipleFieldFilters="0" chartFormat="8" rowHeaderCaption="Months">
  <location ref="E6:F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7"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D47275-EA33-4D65-9CA7-CC2422D32DB2}" name="PivotTable1" cacheId="285" applyNumberFormats="0" applyBorderFormats="0" applyFontFormats="0" applyPatternFormats="0" applyAlignmentFormats="0" applyWidthHeightFormats="1" dataCaption="Values" tag="4a812f8e-de07-423f-8108-9ef57fbfca0e" updatedVersion="8" minRefreshableVersion="3" useAutoFormatting="1" subtotalHiddenItems="1" itemPrintTitles="1" createdVersion="8" indent="0" outline="1" outlineData="1" multipleFieldFilters="0" chartFormat="24" rowHeaderCaption="Months">
  <location ref="B28:C53"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5704DF2-7C85-4984-8E1B-9D5DC9477368}"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erns and Petals Sales Analysi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C60DA9A-0FFB-4E2E-8BE5-325A8C08B0C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98266EC-774E-41CD-82F9-2D7D332CEE96}"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time)" tableColumnId="12"/>
      <queryTableField id="13" name="Diff_order_delivery" tableColumnId="13"/>
      <queryTableField id="14" name="Hour(delivery time)" tableColumnId="14"/>
      <queryTableField id="15" name="Price (INR)" tableColumnId="15"/>
      <queryTableField id="16" name="Revenue" tableColumnId="16"/>
      <queryTableField id="18" name="Day of Order"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E9CD64A-D2B5-4F25-8B74-741263BEE9A3}"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91E8E4F-0690-4AD1-9F33-2140259C93DD}" sourceName="[Orders].[Occasion]">
  <pivotTables>
    <pivotTable tabId="1" name="PivotTable4"/>
    <pivotTable tabId="1" name="PivotTable1"/>
    <pivotTable tabId="1" name="PivotTable2"/>
    <pivotTable tabId="1" name="PivotTable3"/>
    <pivotTable tabId="1" name="PivotTable5"/>
    <pivotTable tabId="1" name="PivotTable6"/>
    <pivotTable tabId="1" name="PivotTable7"/>
  </pivotTables>
  <data>
    <olap pivotCacheId="166928944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Hol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FBC37DD-B5ED-4A65-B1FA-E62BEA829BD2}"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31E76B96-7A3D-426C-B2D7-51908662C7FA}" cache="Slicer_Occasion" caption="Occasion"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3B3605-1C9F-4693-9863-BAA0311EF8D1}" name="Ferns_and_Petals_Sales_Analysis" displayName="Ferns_and_Petals_Sales_Analysis" ref="A1:F4" tableType="queryTable" totalsRowShown="0">
  <autoFilter ref="A1:F4" xr:uid="{1B3B3605-1C9F-4693-9863-BAA0311EF8D1}"/>
  <tableColumns count="6">
    <tableColumn id="1" xr3:uid="{E78FA422-17F1-46F1-8001-3D6CC4172EA8}" uniqueName="1" name="Name" queryTableFieldId="1" dataDxfId="23"/>
    <tableColumn id="2" xr3:uid="{839EF9A6-D5B5-4413-B0C5-FE3619CCCC15}" uniqueName="2" name="Extension" queryTableFieldId="2" dataDxfId="22"/>
    <tableColumn id="3" xr3:uid="{C0331ECD-5DEE-473E-A8F7-EC0E01F67080}" uniqueName="3" name="Date accessed" queryTableFieldId="3" dataDxfId="21"/>
    <tableColumn id="4" xr3:uid="{3D100617-A355-41C9-AC31-7A3F379DAED0}" uniqueName="4" name="Date modified" queryTableFieldId="4" dataDxfId="20"/>
    <tableColumn id="5" xr3:uid="{E441E663-0827-4AA1-9E13-303DA7E34C65}" uniqueName="5" name="Date created" queryTableFieldId="5" dataDxfId="19"/>
    <tableColumn id="6" xr3:uid="{A161DCCA-658F-40B3-950B-F65DEEB44D25}"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96123C-B4BB-4D8F-AC60-65070CB01C50}" name="Customers" displayName="Customers" ref="A1:G101" tableType="queryTable" totalsRowShown="0">
  <autoFilter ref="A1:G101" xr:uid="{7F96123C-B4BB-4D8F-AC60-65070CB01C50}"/>
  <tableColumns count="7">
    <tableColumn id="1" xr3:uid="{DE49482E-56E9-4727-8A22-19B52F970526}" uniqueName="1" name="Customer_ID" queryTableFieldId="1" dataDxfId="17"/>
    <tableColumn id="2" xr3:uid="{02B7206C-9864-4D6B-B6FC-E8147F124B96}" uniqueName="2" name="Name" queryTableFieldId="2" dataDxfId="16"/>
    <tableColumn id="3" xr3:uid="{863C6536-0136-4F91-9E01-93CD89620C14}" uniqueName="3" name="City" queryTableFieldId="3" dataDxfId="15"/>
    <tableColumn id="4" xr3:uid="{A861F2C9-927A-492E-B048-642EB3479CB9}" uniqueName="4" name="Contact_Number" queryTableFieldId="4" dataDxfId="14"/>
    <tableColumn id="5" xr3:uid="{0C9C3852-5C2E-4760-BEE5-F477B4F8626E}" uniqueName="5" name="Email" queryTableFieldId="5" dataDxfId="13"/>
    <tableColumn id="6" xr3:uid="{69F7A7C7-331B-4D06-A32E-0BA114CD550D}" uniqueName="6" name="Gender" queryTableFieldId="6" dataDxfId="12"/>
    <tableColumn id="7" xr3:uid="{C27F1C96-9A26-4EA8-A0C1-03C0DE826853}"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DA41508-73CE-4803-B55E-2B135B8EE82D}" name="Orders" displayName="Orders" ref="A1:Q1001" tableType="queryTable" totalsRowShown="0">
  <autoFilter ref="A1:Q1001" xr:uid="{ADA41508-73CE-4803-B55E-2B135B8EE82D}"/>
  <tableColumns count="17">
    <tableColumn id="1" xr3:uid="{5283573E-52D7-4F68-B05B-4F61968E3810}" uniqueName="1" name="Order_ID" queryTableFieldId="1"/>
    <tableColumn id="2" xr3:uid="{765F2431-731B-42BB-BA12-6BF524F2B5FC}" uniqueName="2" name="Customer_ID" queryTableFieldId="2" dataDxfId="10"/>
    <tableColumn id="3" xr3:uid="{A66D0588-92CD-43DB-A6EF-C64794ED1271}" uniqueName="3" name="Product_ID" queryTableFieldId="3"/>
    <tableColumn id="4" xr3:uid="{6E8A1DAA-263E-4045-B8AD-14CA545DEAAC}" uniqueName="4" name="Quantity" queryTableFieldId="4"/>
    <tableColumn id="5" xr3:uid="{3BD5BD95-9B3E-410A-8A10-675E14DC6823}" uniqueName="5" name="Order_Date" queryTableFieldId="5" dataDxfId="9"/>
    <tableColumn id="6" xr3:uid="{C2659E71-4082-4909-9C01-880345945298}" uniqueName="6" name="Order_Time" queryTableFieldId="6" dataDxfId="8"/>
    <tableColumn id="7" xr3:uid="{022F3202-14E4-44A1-94C5-1D092C220CB4}" uniqueName="7" name="Delivery_Date" queryTableFieldId="7" dataDxfId="7"/>
    <tableColumn id="8" xr3:uid="{9BBE445B-EC3A-4B89-A4ED-5A92ADFE2693}" uniqueName="8" name="Delivery_Time" queryTableFieldId="8" dataDxfId="6"/>
    <tableColumn id="9" xr3:uid="{887FB864-80F1-4350-A584-6BF92483BACC}" uniqueName="9" name="Location" queryTableFieldId="9" dataDxfId="5"/>
    <tableColumn id="10" xr3:uid="{11BFA18E-D738-4BD1-930D-D561F12C1459}" uniqueName="10" name="Occasion" queryTableFieldId="10" dataDxfId="4"/>
    <tableColumn id="11" xr3:uid="{A72F0C2A-6908-4FEE-AFA9-2863A680E937}" uniqueName="11" name="Month Name" queryTableFieldId="11" dataDxfId="3"/>
    <tableColumn id="12" xr3:uid="{87E5F94E-1FE2-4E95-94EF-B8E3CC37EFF2}" uniqueName="12" name="Hour(ordertime)" queryTableFieldId="12"/>
    <tableColumn id="13" xr3:uid="{2CA631A8-55A1-4FB1-B1FC-AD16DFB5BB53}" uniqueName="13" name="Diff_order_delivery" queryTableFieldId="13"/>
    <tableColumn id="14" xr3:uid="{3BD074C1-AFF4-4A31-9956-A8E16D6BF55F}" uniqueName="14" name="Hour(delivery time)" queryTableFieldId="14"/>
    <tableColumn id="15" xr3:uid="{DE365966-EC9F-41D9-8447-21827E5D9409}" uniqueName="15" name="Price (INR)" queryTableFieldId="15"/>
    <tableColumn id="16" xr3:uid="{E1252C4F-52F6-4F33-8EB4-E176C148BCA1}" uniqueName="16" name="Revenue" queryTableFieldId="16"/>
    <tableColumn id="18" xr3:uid="{7BFB65CD-BCF3-4942-84DA-78A7B2F900B6}" uniqueName="18" name="Day of Order"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3AAFD00-9969-4B5C-B186-7A2E6A708F8E}" name="Products" displayName="Products" ref="A1:E71" tableType="queryTable" totalsRowShown="0">
  <autoFilter ref="A1:E71" xr:uid="{E3AAFD00-9969-4B5C-B186-7A2E6A708F8E}"/>
  <tableColumns count="5">
    <tableColumn id="1" xr3:uid="{2821BDB0-81E8-4104-A0F4-156BBEBDE8A1}" uniqueName="1" name="Product_ID" queryTableFieldId="1"/>
    <tableColumn id="2" xr3:uid="{B14E70E3-8B6A-4AD6-9F6E-81B507D44756}" uniqueName="2" name="Product_Name" queryTableFieldId="2" dataDxfId="2"/>
    <tableColumn id="3" xr3:uid="{C5FF4AE5-B490-4A88-8CCC-BE3771C38D69}" uniqueName="3" name="Category" queryTableFieldId="3" dataDxfId="1"/>
    <tableColumn id="4" xr3:uid="{B01FC475-CDFF-4A6E-8716-570E3E4089D8}" uniqueName="4" name="Price (INR)" queryTableFieldId="4"/>
    <tableColumn id="5" xr3:uid="{F45A6AC2-576E-45A2-ABA9-EBF56A754483}"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57D478F-2C0C-4983-BE25-B630C3C20021}" sourceName="[Orders].[Order_Date]">
  <pivotTables>
    <pivotTable tabId="1" name="PivotTable6"/>
  </pivotTables>
  <state minimalRefreshVersion="6" lastRefreshVersion="6" pivotCacheId="35202337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03963912-F790-4F0A-B7CD-92D9825BA6E5}" sourceName="[Orders].[Delivery_Date]">
  <pivotTables>
    <pivotTable tabId="1" name="PivotTable6"/>
  </pivotTables>
  <state minimalRefreshVersion="6" lastRefreshVersion="6" pivotCacheId="35202337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D521728-B393-483A-AB12-580515ED7235}" cache="Timeline_Order_Date" caption="Order_Date" level="2" selectionLevel="2" scrollPosition="2023-01-01T00:00:00"/>
  <timeline name="Delivery_Date" xr10:uid="{B7EC1C59-5C21-4D92-82FB-73B72C57CD6F}" cache="Timeline_Delivery_Date" caption="Delivery_Date" level="2" selectionLevel="2" scrollPosition="2023-10-2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33207-6C05-45AC-8301-2CF3F510E457}">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60.6640625" bestFit="1" customWidth="1"/>
  </cols>
  <sheetData>
    <row r="1" spans="1:6" x14ac:dyDescent="0.3">
      <c r="A1" t="s">
        <v>0</v>
      </c>
      <c r="B1" t="s">
        <v>1</v>
      </c>
      <c r="C1" t="s">
        <v>2</v>
      </c>
      <c r="D1" t="s">
        <v>3</v>
      </c>
      <c r="E1" t="s">
        <v>4</v>
      </c>
      <c r="F1" t="s">
        <v>5</v>
      </c>
    </row>
    <row r="2" spans="1:6" x14ac:dyDescent="0.3">
      <c r="A2" t="s">
        <v>6</v>
      </c>
      <c r="B2" t="s">
        <v>7</v>
      </c>
      <c r="C2" s="1">
        <v>46103.84595308642</v>
      </c>
      <c r="D2" s="1">
        <v>46103.84595308642</v>
      </c>
      <c r="E2" s="1">
        <v>46103.836292708336</v>
      </c>
      <c r="F2" t="s">
        <v>8</v>
      </c>
    </row>
    <row r="3" spans="1:6" x14ac:dyDescent="0.3">
      <c r="A3" t="s">
        <v>9</v>
      </c>
      <c r="B3" t="s">
        <v>7</v>
      </c>
      <c r="C3" s="1">
        <v>46103.845568479941</v>
      </c>
      <c r="D3" s="1">
        <v>46103.845568479941</v>
      </c>
      <c r="E3" s="1">
        <v>46103.836348186727</v>
      </c>
      <c r="F3" t="s">
        <v>8</v>
      </c>
    </row>
    <row r="4" spans="1:6" x14ac:dyDescent="0.3">
      <c r="A4" t="s">
        <v>10</v>
      </c>
      <c r="B4" t="s">
        <v>7</v>
      </c>
      <c r="C4" s="1">
        <v>46103.84460034722</v>
      </c>
      <c r="D4" s="1">
        <v>46103.84460034722</v>
      </c>
      <c r="E4" s="1">
        <v>46103.836416280865</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09D2A-C9CA-4C3C-84EC-625D3ED5699C}">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B5B9F-EB3F-482B-A899-29EA1F38CEBF}">
  <dimension ref="A1:Q1001"/>
  <sheetViews>
    <sheetView workbookViewId="0">
      <selection activeCell="G12" sqref="G1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109375" bestFit="1" customWidth="1"/>
    <col min="13" max="13" width="19.6640625" bestFit="1" customWidth="1"/>
    <col min="14" max="14" width="19.77734375" bestFit="1" customWidth="1"/>
    <col min="15" max="15" width="12.109375" bestFit="1" customWidth="1"/>
    <col min="16" max="16" width="10.5546875" bestFit="1" customWidth="1"/>
    <col min="17" max="17" width="13.88671875" bestFit="1" customWidth="1"/>
    <col min="18" max="18" width="10.7773437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933</v>
      </c>
      <c r="Q1" t="s">
        <v>941</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934</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935</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936</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934</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937</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934</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934</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937</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937</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934</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934</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934</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938</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938</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938</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939</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935</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934</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934</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935</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934</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937</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937</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934</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937</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935</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937</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939</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940</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936</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939</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936</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934</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934</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934</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934</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938</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935</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935</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936</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937</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934</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938</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935</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934</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937</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938</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939</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939</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937</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937</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935</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939</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937</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934</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937</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940</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938</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939</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934</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934</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937</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934</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935</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938</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934</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934</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937</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935</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936</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936</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938</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937</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937</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934</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936</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934</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939</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934</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940</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939</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935</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934</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935</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936</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937</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938</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936</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935</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937</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937</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940</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934</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934</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937</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938</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934</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939</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935</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938</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940</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937</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936</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938</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940</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938</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937</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937</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937</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938</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938</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934</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938</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936</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935</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939</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937</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937</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936</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940</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940</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937</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937</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937</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935</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938</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935</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934</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938</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938</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936</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938</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936</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939</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939</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938</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940</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937</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936</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939</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939</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939</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937</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937</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939</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939</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937</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937</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939</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938</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940</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940</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940</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937</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939</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934</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937</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937</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939</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938</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937</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937</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938</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939</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939</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939</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937</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938</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938</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937</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940</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939</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938</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939</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939</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939</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937</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940</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937</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939</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937</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938</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940</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940</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939</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934</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937</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936</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934</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940</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940</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938</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937</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937</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936</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937</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939</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939</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939</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938</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935</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938</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940</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940</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939</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938</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937</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938</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935</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937</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939</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939</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940</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935</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939</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937</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938</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934</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936</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939</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936</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935</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936</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936</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934</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938</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937</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937</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940</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935</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936</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940</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935</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937</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935</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939</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938</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939</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937</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935</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937</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940</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940</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937</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940</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934</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940</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939</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939</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935</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934</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939</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937</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934</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934</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938</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940</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934</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940</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940</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939</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934</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936</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936</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934</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934</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940</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934</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934</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937</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937</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934</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934</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936</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934</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936</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937</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937</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935</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937</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938</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937</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937</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937</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938</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934</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940</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938</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936</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938</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935</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940</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938</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939</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939</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935</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938</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934</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936</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936</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936</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934</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935</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936</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936</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938</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936</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936</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937</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939</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937</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935</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939</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940</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934</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938</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939</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937</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940</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940</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935</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935</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938</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938</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940</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939</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939</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937</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935</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939</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936</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940</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936</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938</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936</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937</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940</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935</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940</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939</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936</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934</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937</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936</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940</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938</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936</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940</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938</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938</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940</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936</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935</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937</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934</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936</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936</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939</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936</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939</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937</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940</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937</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939</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938</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938</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939</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937</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937</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938</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938</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934</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939</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936</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940</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935</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940</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934</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937</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937</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937</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939</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939</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937</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937</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934</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936</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935</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937</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939</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934</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937</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940</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937</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940</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939</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937</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938</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940</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937</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940</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939</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934</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934</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939</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935</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939</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939</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935</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938</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939</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937</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936</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937</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940</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938</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937</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937</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937</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939</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939</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935</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938</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937</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934</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939</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939</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936</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939</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940</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937</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939</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937</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939</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940</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934</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938</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935</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938</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938</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938</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939</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937</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939</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937</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937</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936</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939</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936</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937</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939</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939</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938</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937</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935</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937</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938</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938</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939</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936</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937</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939</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937</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936</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935</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936</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938</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939</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939</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938</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935</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939</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935</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939</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939</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938</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939</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936</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935</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940</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936</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934</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938</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936</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940</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939</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938</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939</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939</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937</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939</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935</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937</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934</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939</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938</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939</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938</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936</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939</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939</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934</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939</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939</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937</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939</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937</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939</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936</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938</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936</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934</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936</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937</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938</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935</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934</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937</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935</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938</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940</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939</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939</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937</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934</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938</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939</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938</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938</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938</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939</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934</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939</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936</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935</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936</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934</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939</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938</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940</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939</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935</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935</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940</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937</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934</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939</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939</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939</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937</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935</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936</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940</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935</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938</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938</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936</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939</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938</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935</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936</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939</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939</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938</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938</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935</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937</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935</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935</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934</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939</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935</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934</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935</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940</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939</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934</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937</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939</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936</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940</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934</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936</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939</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940</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935</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940</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940</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934</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935</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934</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934</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940</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935</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940</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940</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936</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938</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938</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934</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934</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940</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936</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936</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940</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939</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934</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936</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940</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940</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935</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938</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938</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940</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934</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936</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937</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934</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934</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938</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935</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939</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935</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938</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937</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940</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937</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936</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940</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934</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938</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937</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940</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940</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934</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940</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936</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935</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937</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935</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935</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940</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937</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940</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934</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939</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934</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940</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938</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934</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939</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936</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935</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940</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939</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938</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940</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936</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940</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940</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940</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936</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935</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939</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934</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935</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936</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940</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937</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938</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936</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936</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940</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940</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937</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936</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940</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938</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935</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939</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939</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936</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937</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938</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937</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940</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938</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935</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939</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936</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935</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936</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936</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938</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937</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939</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936</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939</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938</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934</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937</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938</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935</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937</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937</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936</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935</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934</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936</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934</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939</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936</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936</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940</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934</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935</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939</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935</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935</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936</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935</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940</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939</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939</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939</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937</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934</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937</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937</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936</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936</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939</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940</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936</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934</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938</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934</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937</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934</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934</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939</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934</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939</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938</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937</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939</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940</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937</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936</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938</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937</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937</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934</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938</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940</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935</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938</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938</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938</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938</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936</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940</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935</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936</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938</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938</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938</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938</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934</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936</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939</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937</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934</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939</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936</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939</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937</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940</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940</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938</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937</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940</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937</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936</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938</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937</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935</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936</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935</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936</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938</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934</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939</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936</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936</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937</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934</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937</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934</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937</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936</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937</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940</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935</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937</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935</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937</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935</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939</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936</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937</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934</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937</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936</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939</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940</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939</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940</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938</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936</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937</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940</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940</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937</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936</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934</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935</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937</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936</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935</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934</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939</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938</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936</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939</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939</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937</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934</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937</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936</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935</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940</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935</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939</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939</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939</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937</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936</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940</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938</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935</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936</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937</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936</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934</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940</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940</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936</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934</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936</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934</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937</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940</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937</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936</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936</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940</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938</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940</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936</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936</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940</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936</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938</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935</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938</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936</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935</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939</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940</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938</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938</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936</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939</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938</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939</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940</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937</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939</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937</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939</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935</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937</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934</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937</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940</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935</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939</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934</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939</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938</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939</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935</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940</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937</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938</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935</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940</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936</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934</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934</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940</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936</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935</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935</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940</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939</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939</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937</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938</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938</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938</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939</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940</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934</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936</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936</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937</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934</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934</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936</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936</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939</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935</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935</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935</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936</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937</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934</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938</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934</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940</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936</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938</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936</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939</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934</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940</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936</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935</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940</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940</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934</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937</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934</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934</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935</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938</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937</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940</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938</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938</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938</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938</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935</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935</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936</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936</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937</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939</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936</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934</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936</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939</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940</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935</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936</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936</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938</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937</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934</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935</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935</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937</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939</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938</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940</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934</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934</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937</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936</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940</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936</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940</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937</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936</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940</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937</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937</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B9A5A-EC8C-48C9-9229-ED7775EA2135}">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E3F96-42ED-4ED1-BB5B-1F54B1CDD277}">
  <dimension ref="B1:I53"/>
  <sheetViews>
    <sheetView workbookViewId="0">
      <selection activeCell="I21" sqref="I21"/>
    </sheetView>
  </sheetViews>
  <sheetFormatPr defaultRowHeight="14.4" x14ac:dyDescent="0.3"/>
  <cols>
    <col min="2" max="2" width="10.77734375" bestFit="1" customWidth="1"/>
    <col min="3" max="3" width="14.88671875" bestFit="1" customWidth="1"/>
    <col min="5" max="5" width="13.6640625" bestFit="1" customWidth="1"/>
    <col min="6" max="6" width="16.44140625" bestFit="1" customWidth="1"/>
    <col min="7" max="7" width="14.88671875" bestFit="1" customWidth="1"/>
    <col min="8" max="8" width="17.21875" customWidth="1"/>
    <col min="9" max="9" width="13.109375" bestFit="1" customWidth="1"/>
  </cols>
  <sheetData>
    <row r="1" spans="2:9" x14ac:dyDescent="0.3">
      <c r="B1" s="4" t="s">
        <v>944</v>
      </c>
      <c r="C1" t="s">
        <v>942</v>
      </c>
      <c r="E1" t="s">
        <v>945</v>
      </c>
      <c r="F1" t="s">
        <v>943</v>
      </c>
      <c r="G1" t="s">
        <v>942</v>
      </c>
      <c r="H1" t="s">
        <v>947</v>
      </c>
      <c r="I1" t="s">
        <v>948</v>
      </c>
    </row>
    <row r="2" spans="2:9" x14ac:dyDescent="0.3">
      <c r="B2" s="5" t="s">
        <v>621</v>
      </c>
      <c r="C2" s="7">
        <v>200380</v>
      </c>
      <c r="E2" s="7">
        <v>3192.6777999999999</v>
      </c>
      <c r="F2" s="9">
        <v>5.7777777777777777</v>
      </c>
      <c r="G2" s="7">
        <v>574682</v>
      </c>
      <c r="H2" s="9">
        <v>180</v>
      </c>
      <c r="I2" s="7">
        <v>574682</v>
      </c>
    </row>
    <row r="3" spans="2:9" x14ac:dyDescent="0.3">
      <c r="B3" s="5" t="s">
        <v>747</v>
      </c>
      <c r="C3" s="7">
        <v>374302</v>
      </c>
    </row>
    <row r="4" spans="2:9" x14ac:dyDescent="0.3">
      <c r="B4" s="5" t="s">
        <v>932</v>
      </c>
      <c r="C4" s="7">
        <v>574682</v>
      </c>
    </row>
    <row r="5" spans="2:9" x14ac:dyDescent="0.3">
      <c r="I5">
        <f>CORREL(Orders[Quantity],Orders[Diff_order_delivery])</f>
        <v>3.4781737193018245E-3</v>
      </c>
    </row>
    <row r="6" spans="2:9" x14ac:dyDescent="0.3">
      <c r="E6" s="4" t="s">
        <v>944</v>
      </c>
      <c r="F6" t="s">
        <v>942</v>
      </c>
    </row>
    <row r="7" spans="2:9" x14ac:dyDescent="0.3">
      <c r="E7" s="5" t="s">
        <v>876</v>
      </c>
      <c r="F7" s="7">
        <v>69601</v>
      </c>
    </row>
    <row r="8" spans="2:9" x14ac:dyDescent="0.3">
      <c r="E8" s="5" t="s">
        <v>910</v>
      </c>
      <c r="F8" s="7">
        <v>101556</v>
      </c>
    </row>
    <row r="9" spans="2:9" x14ac:dyDescent="0.3">
      <c r="E9" s="5" t="s">
        <v>898</v>
      </c>
      <c r="F9" s="7">
        <v>91385</v>
      </c>
    </row>
    <row r="10" spans="2:9" x14ac:dyDescent="0.3">
      <c r="E10" s="5" t="s">
        <v>867</v>
      </c>
      <c r="F10" s="7">
        <v>56712</v>
      </c>
    </row>
    <row r="11" spans="2:9" x14ac:dyDescent="0.3">
      <c r="E11" s="5" t="s">
        <v>924</v>
      </c>
      <c r="F11" s="7">
        <v>54240</v>
      </c>
    </row>
    <row r="12" spans="2:9" x14ac:dyDescent="0.3">
      <c r="E12" s="5" t="s">
        <v>932</v>
      </c>
      <c r="F12" s="7">
        <v>373494</v>
      </c>
    </row>
    <row r="15" spans="2:9" x14ac:dyDescent="0.3">
      <c r="E15" s="4" t="s">
        <v>12</v>
      </c>
      <c r="F15" t="s">
        <v>946</v>
      </c>
      <c r="H15" s="4" t="s">
        <v>944</v>
      </c>
      <c r="I15" t="s">
        <v>942</v>
      </c>
    </row>
    <row r="16" spans="2:9" x14ac:dyDescent="0.3">
      <c r="B16" s="4" t="s">
        <v>944</v>
      </c>
      <c r="C16" t="s">
        <v>942</v>
      </c>
      <c r="E16" s="5" t="s">
        <v>57</v>
      </c>
      <c r="F16" s="9">
        <v>4</v>
      </c>
      <c r="H16" s="5" t="s">
        <v>699</v>
      </c>
      <c r="I16" s="6">
        <v>586176</v>
      </c>
    </row>
    <row r="17" spans="2:9" x14ac:dyDescent="0.3">
      <c r="B17" s="5" t="s">
        <v>868</v>
      </c>
      <c r="C17" s="7">
        <v>91642</v>
      </c>
      <c r="E17" s="5" t="s">
        <v>218</v>
      </c>
      <c r="F17" s="9">
        <v>7</v>
      </c>
      <c r="H17" s="5" t="s">
        <v>698</v>
      </c>
      <c r="I17" s="6">
        <v>674634</v>
      </c>
    </row>
    <row r="18" spans="2:9" x14ac:dyDescent="0.3">
      <c r="B18" s="5" t="s">
        <v>863</v>
      </c>
      <c r="C18" s="7">
        <v>320798</v>
      </c>
      <c r="E18" s="5" t="s">
        <v>32</v>
      </c>
      <c r="F18" s="9">
        <v>4</v>
      </c>
      <c r="H18" s="5" t="s">
        <v>707</v>
      </c>
      <c r="I18" s="6">
        <v>408194</v>
      </c>
    </row>
    <row r="19" spans="2:9" x14ac:dyDescent="0.3">
      <c r="B19" s="5" t="s">
        <v>874</v>
      </c>
      <c r="C19" s="7">
        <v>69601</v>
      </c>
      <c r="E19" s="5" t="s">
        <v>324</v>
      </c>
      <c r="F19" s="9">
        <v>7</v>
      </c>
      <c r="H19" s="5" t="s">
        <v>829</v>
      </c>
      <c r="I19" s="6">
        <v>313783</v>
      </c>
    </row>
    <row r="20" spans="2:9" x14ac:dyDescent="0.3">
      <c r="B20" s="5" t="s">
        <v>861</v>
      </c>
      <c r="C20" s="7">
        <v>16880</v>
      </c>
      <c r="E20" s="5" t="s">
        <v>289</v>
      </c>
      <c r="F20" s="9">
        <v>5</v>
      </c>
      <c r="H20" s="5" t="s">
        <v>701</v>
      </c>
      <c r="I20" s="6">
        <v>574682</v>
      </c>
    </row>
    <row r="21" spans="2:9" x14ac:dyDescent="0.3">
      <c r="B21" s="5" t="s">
        <v>859</v>
      </c>
      <c r="C21" s="7">
        <v>24131</v>
      </c>
      <c r="E21" s="5" t="s">
        <v>307</v>
      </c>
      <c r="F21" s="9">
        <v>7</v>
      </c>
      <c r="H21" s="5" t="s">
        <v>794</v>
      </c>
      <c r="I21" s="6">
        <v>631585</v>
      </c>
    </row>
    <row r="22" spans="2:9" x14ac:dyDescent="0.3">
      <c r="B22" s="5" t="s">
        <v>865</v>
      </c>
      <c r="C22" s="7">
        <v>51630</v>
      </c>
      <c r="E22" s="5" t="s">
        <v>158</v>
      </c>
      <c r="F22" s="9">
        <v>4</v>
      </c>
      <c r="H22" s="5" t="s">
        <v>620</v>
      </c>
      <c r="I22" s="6">
        <v>331930</v>
      </c>
    </row>
    <row r="23" spans="2:9" x14ac:dyDescent="0.3">
      <c r="B23" s="5" t="s">
        <v>932</v>
      </c>
      <c r="C23" s="7">
        <v>574682</v>
      </c>
      <c r="E23" s="5" t="s">
        <v>397</v>
      </c>
      <c r="F23" s="9">
        <v>5</v>
      </c>
      <c r="H23" s="5" t="s">
        <v>932</v>
      </c>
      <c r="I23" s="6">
        <v>3520984</v>
      </c>
    </row>
    <row r="24" spans="2:9" x14ac:dyDescent="0.3">
      <c r="E24" s="5" t="s">
        <v>81</v>
      </c>
      <c r="F24" s="9">
        <v>4</v>
      </c>
    </row>
    <row r="25" spans="2:9" x14ac:dyDescent="0.3">
      <c r="E25" s="5" t="s">
        <v>19</v>
      </c>
      <c r="F25" s="9">
        <v>5</v>
      </c>
    </row>
    <row r="26" spans="2:9" x14ac:dyDescent="0.3">
      <c r="E26" s="5" t="s">
        <v>932</v>
      </c>
      <c r="F26" s="9">
        <v>52</v>
      </c>
    </row>
    <row r="28" spans="2:9" x14ac:dyDescent="0.3">
      <c r="B28" s="4" t="s">
        <v>944</v>
      </c>
      <c r="C28" t="s">
        <v>942</v>
      </c>
    </row>
    <row r="29" spans="2:9" x14ac:dyDescent="0.3">
      <c r="B29" s="5">
        <v>0</v>
      </c>
      <c r="C29" s="7">
        <v>28728</v>
      </c>
    </row>
    <row r="30" spans="2:9" x14ac:dyDescent="0.3">
      <c r="B30" s="5">
        <v>1</v>
      </c>
      <c r="C30" s="7">
        <v>21779</v>
      </c>
    </row>
    <row r="31" spans="2:9" x14ac:dyDescent="0.3">
      <c r="B31" s="5">
        <v>2</v>
      </c>
      <c r="C31" s="7">
        <v>22832</v>
      </c>
    </row>
    <row r="32" spans="2:9" x14ac:dyDescent="0.3">
      <c r="B32" s="5">
        <v>3</v>
      </c>
      <c r="C32" s="7">
        <v>33782</v>
      </c>
    </row>
    <row r="33" spans="2:3" x14ac:dyDescent="0.3">
      <c r="B33" s="5">
        <v>4</v>
      </c>
      <c r="C33" s="7">
        <v>15783</v>
      </c>
    </row>
    <row r="34" spans="2:3" x14ac:dyDescent="0.3">
      <c r="B34" s="5">
        <v>5</v>
      </c>
      <c r="C34" s="7">
        <v>30835</v>
      </c>
    </row>
    <row r="35" spans="2:3" x14ac:dyDescent="0.3">
      <c r="B35" s="5">
        <v>6</v>
      </c>
      <c r="C35" s="7">
        <v>21130</v>
      </c>
    </row>
    <row r="36" spans="2:3" x14ac:dyDescent="0.3">
      <c r="B36" s="5">
        <v>7</v>
      </c>
      <c r="C36" s="7">
        <v>19661</v>
      </c>
    </row>
    <row r="37" spans="2:3" x14ac:dyDescent="0.3">
      <c r="B37" s="5">
        <v>8</v>
      </c>
      <c r="C37" s="7">
        <v>35804</v>
      </c>
    </row>
    <row r="38" spans="2:3" x14ac:dyDescent="0.3">
      <c r="B38" s="5">
        <v>9</v>
      </c>
      <c r="C38" s="7">
        <v>11700</v>
      </c>
    </row>
    <row r="39" spans="2:3" x14ac:dyDescent="0.3">
      <c r="B39" s="5">
        <v>10</v>
      </c>
      <c r="C39" s="7">
        <v>10213</v>
      </c>
    </row>
    <row r="40" spans="2:3" x14ac:dyDescent="0.3">
      <c r="B40" s="5">
        <v>11</v>
      </c>
      <c r="C40" s="7">
        <v>17528</v>
      </c>
    </row>
    <row r="41" spans="2:3" x14ac:dyDescent="0.3">
      <c r="B41" s="5">
        <v>12</v>
      </c>
      <c r="C41" s="7">
        <v>30902</v>
      </c>
    </row>
    <row r="42" spans="2:3" x14ac:dyDescent="0.3">
      <c r="B42" s="5">
        <v>13</v>
      </c>
      <c r="C42" s="7">
        <v>23133</v>
      </c>
    </row>
    <row r="43" spans="2:3" x14ac:dyDescent="0.3">
      <c r="B43" s="5">
        <v>14</v>
      </c>
      <c r="C43" s="7">
        <v>24232</v>
      </c>
    </row>
    <row r="44" spans="2:3" x14ac:dyDescent="0.3">
      <c r="B44" s="5">
        <v>15</v>
      </c>
      <c r="C44" s="7">
        <v>29653</v>
      </c>
    </row>
    <row r="45" spans="2:3" x14ac:dyDescent="0.3">
      <c r="B45" s="5">
        <v>16</v>
      </c>
      <c r="C45" s="7">
        <v>22272</v>
      </c>
    </row>
    <row r="46" spans="2:3" x14ac:dyDescent="0.3">
      <c r="B46" s="5">
        <v>17</v>
      </c>
      <c r="C46" s="7">
        <v>43674</v>
      </c>
    </row>
    <row r="47" spans="2:3" x14ac:dyDescent="0.3">
      <c r="B47" s="5">
        <v>18</v>
      </c>
      <c r="C47" s="7">
        <v>12696</v>
      </c>
    </row>
    <row r="48" spans="2:3" x14ac:dyDescent="0.3">
      <c r="B48" s="5">
        <v>19</v>
      </c>
      <c r="C48" s="7">
        <v>20575</v>
      </c>
    </row>
    <row r="49" spans="2:3" x14ac:dyDescent="0.3">
      <c r="B49" s="5">
        <v>20</v>
      </c>
      <c r="C49" s="7">
        <v>43064</v>
      </c>
    </row>
    <row r="50" spans="2:3" x14ac:dyDescent="0.3">
      <c r="B50" s="5">
        <v>21</v>
      </c>
      <c r="C50" s="7">
        <v>26312</v>
      </c>
    </row>
    <row r="51" spans="2:3" x14ac:dyDescent="0.3">
      <c r="B51" s="5">
        <v>22</v>
      </c>
      <c r="C51" s="7">
        <v>7062</v>
      </c>
    </row>
    <row r="52" spans="2:3" x14ac:dyDescent="0.3">
      <c r="B52" s="5">
        <v>23</v>
      </c>
      <c r="C52" s="7">
        <v>21332</v>
      </c>
    </row>
    <row r="53" spans="2:3" x14ac:dyDescent="0.3">
      <c r="B53" s="5" t="s">
        <v>932</v>
      </c>
      <c r="C53" s="7">
        <v>574682</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A21D1-DA93-46D3-843D-007079784507}">
  <dimension ref="A1"/>
  <sheetViews>
    <sheetView showGridLines="0" tabSelected="1" workbookViewId="0">
      <selection activeCell="A11" sqref="A11"/>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3A0E2FF7-F71D-411F-AEAD-01DAB5500A5A}">
  <ds:schemaRefs/>
</ds:datastoreItem>
</file>

<file path=customXml/itemProps2.xml><?xml version="1.0" encoding="utf-8"?>
<ds:datastoreItem xmlns:ds="http://schemas.openxmlformats.org/officeDocument/2006/customXml" ds:itemID="{BF371569-1A3D-456B-AE4E-530B7803A817}">
  <ds:schemaRefs/>
</ds:datastoreItem>
</file>

<file path=customXml/itemProps3.xml><?xml version="1.0" encoding="utf-8"?>
<ds:datastoreItem xmlns:ds="http://schemas.openxmlformats.org/officeDocument/2006/customXml" ds:itemID="{48F925EB-CE3C-497D-863A-63F005D5E0B9}">
  <ds:schemaRefs/>
</ds:datastoreItem>
</file>

<file path=customXml/itemProps4.xml><?xml version="1.0" encoding="utf-8"?>
<ds:datastoreItem xmlns:ds="http://schemas.openxmlformats.org/officeDocument/2006/customXml" ds:itemID="{55A8E8E2-3D80-4AD2-BC2A-3833AAEC499B}">
  <ds:schemaRefs/>
</ds:datastoreItem>
</file>

<file path=customXml/itemProps5.xml><?xml version="1.0" encoding="utf-8"?>
<ds:datastoreItem xmlns:ds="http://schemas.openxmlformats.org/officeDocument/2006/customXml" ds:itemID="{E222C42B-E0DD-4B65-8F32-5A7312FF74CE}">
  <ds:schemaRefs/>
</ds:datastoreItem>
</file>

<file path=customXml/itemProps6.xml><?xml version="1.0" encoding="utf-8"?>
<ds:datastoreItem xmlns:ds="http://schemas.openxmlformats.org/officeDocument/2006/customXml" ds:itemID="{AB97F459-1E27-4406-8DB4-A33BD3B6A60E}">
  <ds:schemaRefs/>
</ds:datastoreItem>
</file>

<file path=customXml/itemProps7.xml><?xml version="1.0" encoding="utf-8"?>
<ds:datastoreItem xmlns:ds="http://schemas.openxmlformats.org/officeDocument/2006/customXml" ds:itemID="{257BCA9B-A1CA-4F92-996B-704A6DCAAFF3}">
  <ds:schemaRefs/>
</ds:datastoreItem>
</file>

<file path=customXml/itemProps8.xml><?xml version="1.0" encoding="utf-8"?>
<ds:datastoreItem xmlns:ds="http://schemas.openxmlformats.org/officeDocument/2006/customXml" ds:itemID="{665FC03A-30E6-4151-A78E-7C6518676202}">
  <ds:schemaRefs/>
</ds:datastoreItem>
</file>

<file path=customXml/itemProps9.xml><?xml version="1.0" encoding="utf-8"?>
<ds:datastoreItem xmlns:ds="http://schemas.openxmlformats.org/officeDocument/2006/customXml" ds:itemID="{D239D151-0078-4CDC-97AF-6B75B8B5E434}">
  <ds:schemaRefs/>
</ds:datastoreItem>
</file>

<file path=customXml/itemProps10.xml><?xml version="1.0" encoding="utf-8"?>
<ds:datastoreItem xmlns:ds="http://schemas.openxmlformats.org/officeDocument/2006/customXml" ds:itemID="{84336CBA-A019-4265-AD66-FB6FCC286936}">
  <ds:schemaRefs/>
</ds:datastoreItem>
</file>

<file path=customXml/itemProps11.xml><?xml version="1.0" encoding="utf-8"?>
<ds:datastoreItem xmlns:ds="http://schemas.openxmlformats.org/officeDocument/2006/customXml" ds:itemID="{6CD8AE1C-5BE0-4C08-A371-3ACA9B189C7B}">
  <ds:schemaRefs/>
</ds:datastoreItem>
</file>

<file path=customXml/itemProps12.xml><?xml version="1.0" encoding="utf-8"?>
<ds:datastoreItem xmlns:ds="http://schemas.openxmlformats.org/officeDocument/2006/customXml" ds:itemID="{4322D7CF-1CFE-4B2D-BA51-9E2C69714F88}">
  <ds:schemaRefs/>
</ds:datastoreItem>
</file>

<file path=customXml/itemProps13.xml><?xml version="1.0" encoding="utf-8"?>
<ds:datastoreItem xmlns:ds="http://schemas.openxmlformats.org/officeDocument/2006/customXml" ds:itemID="{7B176DA5-3268-4767-B121-2CDDB9AB56D5}">
  <ds:schemaRefs/>
</ds:datastoreItem>
</file>

<file path=customXml/itemProps14.xml><?xml version="1.0" encoding="utf-8"?>
<ds:datastoreItem xmlns:ds="http://schemas.openxmlformats.org/officeDocument/2006/customXml" ds:itemID="{2E0B543E-39C2-4FD7-B1E6-C0F03B74FFFC}">
  <ds:schemaRefs/>
</ds:datastoreItem>
</file>

<file path=customXml/itemProps15.xml><?xml version="1.0" encoding="utf-8"?>
<ds:datastoreItem xmlns:ds="http://schemas.openxmlformats.org/officeDocument/2006/customXml" ds:itemID="{02F3E232-C0D7-4590-BE9F-FFE520B51269}">
  <ds:schemaRefs/>
</ds:datastoreItem>
</file>

<file path=customXml/itemProps16.xml><?xml version="1.0" encoding="utf-8"?>
<ds:datastoreItem xmlns:ds="http://schemas.openxmlformats.org/officeDocument/2006/customXml" ds:itemID="{E20B6814-2890-4FCC-BAA1-0874DB992997}">
  <ds:schemaRefs/>
</ds:datastoreItem>
</file>

<file path=customXml/itemProps17.xml><?xml version="1.0" encoding="utf-8"?>
<ds:datastoreItem xmlns:ds="http://schemas.openxmlformats.org/officeDocument/2006/customXml" ds:itemID="{44113682-B3C5-4435-9EE9-0C4DF960317F}">
  <ds:schemaRefs/>
</ds:datastoreItem>
</file>

<file path=customXml/itemProps18.xml><?xml version="1.0" encoding="utf-8"?>
<ds:datastoreItem xmlns:ds="http://schemas.openxmlformats.org/officeDocument/2006/customXml" ds:itemID="{BE3639F3-9A66-447C-AE0D-AFEA9B8A28C6}">
  <ds:schemaRefs/>
</ds:datastoreItem>
</file>

<file path=customXml/itemProps19.xml><?xml version="1.0" encoding="utf-8"?>
<ds:datastoreItem xmlns:ds="http://schemas.openxmlformats.org/officeDocument/2006/customXml" ds:itemID="{4C822AFC-32E7-4052-8012-A5497C930E04}">
  <ds:schemaRefs/>
</ds:datastoreItem>
</file>

<file path=customXml/itemProps20.xml><?xml version="1.0" encoding="utf-8"?>
<ds:datastoreItem xmlns:ds="http://schemas.openxmlformats.org/officeDocument/2006/customXml" ds:itemID="{872F87CA-1F69-4E79-B84C-13DE5686850C}">
  <ds:schemaRefs/>
</ds:datastoreItem>
</file>

<file path=customXml/itemProps21.xml><?xml version="1.0" encoding="utf-8"?>
<ds:datastoreItem xmlns:ds="http://schemas.openxmlformats.org/officeDocument/2006/customXml" ds:itemID="{D5356E1F-C910-43F6-85E4-44BA60E0055A}">
  <ds:schemaRefs/>
</ds:datastoreItem>
</file>

<file path=customXml/itemProps22.xml><?xml version="1.0" encoding="utf-8"?>
<ds:datastoreItem xmlns:ds="http://schemas.openxmlformats.org/officeDocument/2006/customXml" ds:itemID="{3E83D1E9-F793-442D-BD59-77DB49D56E33}">
  <ds:schemaRefs/>
</ds:datastoreItem>
</file>

<file path=customXml/itemProps23.xml><?xml version="1.0" encoding="utf-8"?>
<ds:datastoreItem xmlns:ds="http://schemas.openxmlformats.org/officeDocument/2006/customXml" ds:itemID="{C4ACAD50-C317-4D97-BEE8-A3D191160737}">
  <ds:schemaRefs/>
</ds:datastoreItem>
</file>

<file path=customXml/itemProps24.xml><?xml version="1.0" encoding="utf-8"?>
<ds:datastoreItem xmlns:ds="http://schemas.openxmlformats.org/officeDocument/2006/customXml" ds:itemID="{C8E34F14-3107-4671-9486-B09481C5D4BE}">
  <ds:schemaRefs>
    <ds:schemaRef ds:uri="http://schemas.microsoft.com/DataMashup"/>
  </ds:schemaRefs>
</ds:datastoreItem>
</file>

<file path=customXml/itemProps25.xml><?xml version="1.0" encoding="utf-8"?>
<ds:datastoreItem xmlns:ds="http://schemas.openxmlformats.org/officeDocument/2006/customXml" ds:itemID="{D365BDDF-D86A-414E-BC67-7E2F34A69F81}">
  <ds:schemaRefs/>
</ds:datastoreItem>
</file>

<file path=customXml/itemProps26.xml><?xml version="1.0" encoding="utf-8"?>
<ds:datastoreItem xmlns:ds="http://schemas.openxmlformats.org/officeDocument/2006/customXml" ds:itemID="{0A75DA32-2D3F-4BC3-A371-0F07B67E5DF7}">
  <ds:schemaRefs/>
</ds:datastoreItem>
</file>

<file path=customXml/itemProps27.xml><?xml version="1.0" encoding="utf-8"?>
<ds:datastoreItem xmlns:ds="http://schemas.openxmlformats.org/officeDocument/2006/customXml" ds:itemID="{1D646459-5E18-4940-92CC-510BA80B80B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Ferns and Petals Sales Analysis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BODHISATTVA DASGUPTA</dc:creator>
  <cp:lastModifiedBy>BODHISATTVA DASGUPTA</cp:lastModifiedBy>
  <dcterms:created xsi:type="dcterms:W3CDTF">2026-03-22T14:51:10Z</dcterms:created>
  <dcterms:modified xsi:type="dcterms:W3CDTF">2026-04-02T16:11:36Z</dcterms:modified>
</cp:coreProperties>
</file>